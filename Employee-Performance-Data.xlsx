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gha\OneDrive\Documents\Workforce Analytics and Performance Insights\"/>
    </mc:Choice>
  </mc:AlternateContent>
  <xr:revisionPtr revIDLastSave="0" documentId="8_{D066668A-D6A0-40B3-99CC-3F60AE1B9077}" xr6:coauthVersionLast="47" xr6:coauthVersionMax="47" xr10:uidLastSave="{00000000-0000-0000-0000-000000000000}"/>
  <bookViews>
    <workbookView xWindow="-108" yWindow="-108" windowWidth="23256" windowHeight="13896" xr2:uid="{74428ABF-AE13-4289-9530-48DF639BA5BF}"/>
  </bookViews>
  <sheets>
    <sheet name="Data" sheetId="1" r:id="rId1"/>
    <sheet name="povit" sheetId="3" r:id="rId2"/>
    <sheet name="Dashboreds " sheetId="2" r:id="rId3"/>
  </sheets>
  <definedNames>
    <definedName name="_xlnm._FilterDatabase" localSheetId="0" hidden="1">Data!$A$1:$K$211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E3" i="1"/>
  <c r="F3" i="1" s="1"/>
  <c r="O6" i="2"/>
  <c r="G169" i="1"/>
  <c r="G43" i="1"/>
  <c r="G57" i="1"/>
  <c r="G192" i="1"/>
  <c r="G90" i="1"/>
  <c r="G20" i="1"/>
  <c r="G76" i="1"/>
  <c r="G155" i="1"/>
  <c r="G125" i="1"/>
  <c r="G164" i="1"/>
  <c r="G86" i="1"/>
  <c r="G190" i="1"/>
  <c r="G123" i="1"/>
  <c r="G98" i="1"/>
  <c r="G211" i="1"/>
  <c r="G107" i="1"/>
  <c r="G147" i="1"/>
  <c r="G153" i="1"/>
  <c r="G9" i="1"/>
  <c r="G47" i="1"/>
  <c r="G67" i="1"/>
  <c r="G60" i="1"/>
  <c r="G149" i="1"/>
  <c r="G124" i="1"/>
  <c r="G64" i="1"/>
  <c r="G160" i="1"/>
  <c r="G198" i="1"/>
  <c r="G170" i="1"/>
  <c r="G140" i="1"/>
  <c r="G136" i="1"/>
  <c r="G108" i="1"/>
  <c r="G203" i="1"/>
  <c r="G206" i="1"/>
  <c r="G183" i="1"/>
  <c r="G91" i="1"/>
  <c r="G62" i="1"/>
  <c r="G151" i="1"/>
  <c r="G104" i="1"/>
  <c r="G119" i="1"/>
  <c r="G181" i="1"/>
  <c r="G31" i="1"/>
  <c r="G23" i="1"/>
  <c r="G93" i="1"/>
  <c r="G175" i="1"/>
  <c r="G48" i="1"/>
  <c r="G8" i="1"/>
  <c r="G143" i="1"/>
  <c r="G180" i="1"/>
  <c r="G205" i="1"/>
  <c r="G162" i="1"/>
  <c r="G129" i="1"/>
  <c r="G174" i="1"/>
  <c r="G130" i="1"/>
  <c r="G186" i="1"/>
  <c r="G39" i="1"/>
  <c r="G102" i="1"/>
  <c r="G184" i="1"/>
  <c r="G158" i="1"/>
  <c r="G53" i="1"/>
  <c r="G15" i="1"/>
  <c r="G55" i="1"/>
  <c r="G122" i="1"/>
  <c r="G41" i="1"/>
  <c r="G194" i="1"/>
  <c r="G84" i="1"/>
  <c r="G135" i="1"/>
  <c r="G115" i="1"/>
  <c r="G29" i="1"/>
  <c r="G5" i="1"/>
  <c r="G56" i="1"/>
  <c r="G70" i="1"/>
  <c r="G114" i="1"/>
  <c r="G154" i="1"/>
  <c r="G132" i="1"/>
  <c r="G2" i="1"/>
  <c r="G13" i="1"/>
  <c r="G68" i="1"/>
  <c r="G49" i="1"/>
  <c r="G58" i="1"/>
  <c r="G25" i="1"/>
  <c r="G146" i="1"/>
  <c r="G59" i="1"/>
  <c r="G137" i="1"/>
  <c r="G95" i="1"/>
  <c r="G195" i="1"/>
  <c r="G113" i="1"/>
  <c r="G110" i="1"/>
  <c r="G177" i="1"/>
  <c r="G66" i="1"/>
  <c r="G142" i="1"/>
  <c r="G182" i="1"/>
  <c r="G18" i="1"/>
  <c r="G128" i="1"/>
  <c r="G207" i="1"/>
  <c r="G111" i="1"/>
  <c r="G65" i="1"/>
  <c r="G82" i="1"/>
  <c r="G144" i="1"/>
  <c r="G12" i="1"/>
  <c r="G79" i="1"/>
  <c r="G166" i="1"/>
  <c r="G61" i="1"/>
  <c r="G145" i="1"/>
  <c r="G71" i="1"/>
  <c r="G100" i="1"/>
  <c r="G17" i="1"/>
  <c r="G157" i="1"/>
  <c r="G36" i="1"/>
  <c r="G7" i="1"/>
  <c r="G16" i="1"/>
  <c r="G161" i="1"/>
  <c r="G176" i="1"/>
  <c r="G94" i="1"/>
  <c r="G193" i="1"/>
  <c r="G178" i="1"/>
  <c r="G200" i="1"/>
  <c r="G63" i="1"/>
  <c r="G72" i="1"/>
  <c r="G6" i="1"/>
  <c r="G120" i="1"/>
  <c r="G126" i="1"/>
  <c r="G44" i="1"/>
  <c r="G188" i="1"/>
  <c r="G116" i="1"/>
  <c r="G30" i="1"/>
  <c r="G101" i="1"/>
  <c r="G179" i="1"/>
  <c r="G88" i="1"/>
  <c r="G148" i="1"/>
  <c r="G96" i="1"/>
  <c r="G87" i="1"/>
  <c r="G74" i="1"/>
  <c r="G27" i="1"/>
  <c r="G112" i="1"/>
  <c r="G92" i="1"/>
  <c r="G185" i="1"/>
  <c r="G117" i="1"/>
  <c r="G69" i="1"/>
  <c r="G210" i="1"/>
  <c r="G26" i="1"/>
  <c r="G78" i="1"/>
  <c r="G121" i="1"/>
  <c r="G35" i="1"/>
  <c r="G77" i="1"/>
  <c r="G51" i="1"/>
  <c r="G196" i="1"/>
  <c r="G45" i="1"/>
  <c r="G32" i="1"/>
  <c r="G106" i="1"/>
  <c r="G73" i="1"/>
  <c r="G168" i="1"/>
  <c r="G83" i="1"/>
  <c r="G40" i="1"/>
  <c r="G189" i="1"/>
  <c r="G187" i="1"/>
  <c r="G46" i="1"/>
  <c r="G75" i="1"/>
  <c r="G109" i="1"/>
  <c r="G165" i="1"/>
  <c r="G127" i="1"/>
  <c r="G85" i="1"/>
  <c r="G28" i="1"/>
  <c r="G173" i="1"/>
  <c r="G19" i="1"/>
  <c r="G152" i="1"/>
  <c r="G105" i="1"/>
  <c r="G37" i="1"/>
  <c r="G21" i="1"/>
  <c r="G99" i="1"/>
  <c r="G89" i="1"/>
  <c r="G131" i="1"/>
  <c r="G97" i="1"/>
  <c r="G202" i="1"/>
  <c r="G133" i="1"/>
  <c r="G156" i="1"/>
  <c r="G10" i="1"/>
  <c r="G134" i="1"/>
  <c r="G163" i="1"/>
  <c r="G80" i="1"/>
  <c r="G172" i="1"/>
  <c r="G199" i="1"/>
  <c r="G38" i="1"/>
  <c r="G138" i="1"/>
  <c r="G24" i="1"/>
  <c r="G22" i="1"/>
  <c r="G150" i="1"/>
  <c r="G42" i="1"/>
  <c r="G208" i="1"/>
  <c r="G4" i="1"/>
  <c r="G34" i="1"/>
  <c r="G52" i="1"/>
  <c r="G103" i="1"/>
  <c r="G209" i="1"/>
  <c r="G191" i="1"/>
  <c r="G197" i="1"/>
  <c r="G11" i="1"/>
  <c r="G50" i="1"/>
  <c r="G33" i="1"/>
  <c r="G201" i="1"/>
  <c r="G81" i="1"/>
  <c r="G141" i="1"/>
  <c r="G159" i="1"/>
  <c r="G118" i="1"/>
  <c r="G204" i="1"/>
  <c r="G54" i="1"/>
  <c r="G171" i="1"/>
  <c r="G14" i="1"/>
  <c r="G167" i="1"/>
  <c r="G139" i="1"/>
  <c r="E57" i="1"/>
  <c r="F57" i="1" s="1"/>
  <c r="E192" i="1"/>
  <c r="F192" i="1" s="1"/>
  <c r="E90" i="1"/>
  <c r="F90" i="1" s="1"/>
  <c r="E20" i="1"/>
  <c r="F20" i="1" s="1"/>
  <c r="E76" i="1"/>
  <c r="F76" i="1" s="1"/>
  <c r="E155" i="1"/>
  <c r="F155" i="1" s="1"/>
  <c r="E125" i="1"/>
  <c r="F125" i="1" s="1"/>
  <c r="E164" i="1"/>
  <c r="F164" i="1" s="1"/>
  <c r="E86" i="1"/>
  <c r="F86" i="1" s="1"/>
  <c r="E190" i="1"/>
  <c r="F190" i="1" s="1"/>
  <c r="E123" i="1"/>
  <c r="F123" i="1" s="1"/>
  <c r="E98" i="1"/>
  <c r="F98" i="1" s="1"/>
  <c r="E211" i="1"/>
  <c r="F211" i="1" s="1"/>
  <c r="E107" i="1"/>
  <c r="F107" i="1" s="1"/>
  <c r="E147" i="1"/>
  <c r="F147" i="1" s="1"/>
  <c r="E153" i="1"/>
  <c r="F153" i="1" s="1"/>
  <c r="E9" i="1"/>
  <c r="F9" i="1" s="1"/>
  <c r="E47" i="1"/>
  <c r="F47" i="1" s="1"/>
  <c r="E67" i="1"/>
  <c r="F67" i="1" s="1"/>
  <c r="E60" i="1"/>
  <c r="F60" i="1" s="1"/>
  <c r="E149" i="1"/>
  <c r="F149" i="1" s="1"/>
  <c r="E124" i="1"/>
  <c r="F124" i="1" s="1"/>
  <c r="E64" i="1"/>
  <c r="F64" i="1" s="1"/>
  <c r="E160" i="1"/>
  <c r="F160" i="1" s="1"/>
  <c r="E198" i="1"/>
  <c r="F198" i="1" s="1"/>
  <c r="E170" i="1"/>
  <c r="F170" i="1" s="1"/>
  <c r="E140" i="1"/>
  <c r="F140" i="1" s="1"/>
  <c r="E136" i="1"/>
  <c r="F136" i="1" s="1"/>
  <c r="E108" i="1"/>
  <c r="F108" i="1" s="1"/>
  <c r="E203" i="1"/>
  <c r="F203" i="1" s="1"/>
  <c r="E206" i="1"/>
  <c r="F206" i="1" s="1"/>
  <c r="E183" i="1"/>
  <c r="F183" i="1" s="1"/>
  <c r="E91" i="1"/>
  <c r="F91" i="1" s="1"/>
  <c r="E62" i="1"/>
  <c r="F62" i="1" s="1"/>
  <c r="E151" i="1"/>
  <c r="F151" i="1" s="1"/>
  <c r="E104" i="1"/>
  <c r="F104" i="1" s="1"/>
  <c r="E119" i="1"/>
  <c r="F119" i="1" s="1"/>
  <c r="E181" i="1"/>
  <c r="F181" i="1" s="1"/>
  <c r="E31" i="1"/>
  <c r="F31" i="1" s="1"/>
  <c r="E23" i="1"/>
  <c r="F23" i="1" s="1"/>
  <c r="E93" i="1"/>
  <c r="F93" i="1" s="1"/>
  <c r="E175" i="1"/>
  <c r="F175" i="1" s="1"/>
  <c r="E48" i="1"/>
  <c r="F48" i="1" s="1"/>
  <c r="E8" i="1"/>
  <c r="F8" i="1" s="1"/>
  <c r="E143" i="1"/>
  <c r="F143" i="1" s="1"/>
  <c r="E180" i="1"/>
  <c r="F180" i="1" s="1"/>
  <c r="E205" i="1"/>
  <c r="F205" i="1" s="1"/>
  <c r="E162" i="1"/>
  <c r="F162" i="1" s="1"/>
  <c r="E129" i="1"/>
  <c r="F129" i="1" s="1"/>
  <c r="E174" i="1"/>
  <c r="F174" i="1" s="1"/>
  <c r="E130" i="1"/>
  <c r="F130" i="1" s="1"/>
  <c r="E186" i="1"/>
  <c r="F186" i="1" s="1"/>
  <c r="E39" i="1"/>
  <c r="F39" i="1" s="1"/>
  <c r="E102" i="1"/>
  <c r="F102" i="1" s="1"/>
  <c r="E184" i="1"/>
  <c r="F184" i="1" s="1"/>
  <c r="E158" i="1"/>
  <c r="F158" i="1" s="1"/>
  <c r="E53" i="1"/>
  <c r="F53" i="1" s="1"/>
  <c r="E15" i="1"/>
  <c r="F15" i="1" s="1"/>
  <c r="E55" i="1"/>
  <c r="F55" i="1" s="1"/>
  <c r="E122" i="1"/>
  <c r="F122" i="1" s="1"/>
  <c r="E41" i="1"/>
  <c r="F41" i="1" s="1"/>
  <c r="E194" i="1"/>
  <c r="F194" i="1" s="1"/>
  <c r="E84" i="1"/>
  <c r="F84" i="1" s="1"/>
  <c r="E135" i="1"/>
  <c r="F135" i="1" s="1"/>
  <c r="E115" i="1"/>
  <c r="F115" i="1" s="1"/>
  <c r="E29" i="1"/>
  <c r="F29" i="1" s="1"/>
  <c r="E5" i="1"/>
  <c r="F5" i="1" s="1"/>
  <c r="E56" i="1"/>
  <c r="F56" i="1" s="1"/>
  <c r="E70" i="1"/>
  <c r="F70" i="1" s="1"/>
  <c r="E114" i="1"/>
  <c r="F114" i="1" s="1"/>
  <c r="E154" i="1"/>
  <c r="F154" i="1" s="1"/>
  <c r="E132" i="1"/>
  <c r="F132" i="1" s="1"/>
  <c r="E2" i="1"/>
  <c r="F2" i="1" s="1"/>
  <c r="E13" i="1"/>
  <c r="F13" i="1" s="1"/>
  <c r="E68" i="1"/>
  <c r="F68" i="1" s="1"/>
  <c r="E49" i="1"/>
  <c r="F49" i="1" s="1"/>
  <c r="E58" i="1"/>
  <c r="F58" i="1" s="1"/>
  <c r="E25" i="1"/>
  <c r="F25" i="1" s="1"/>
  <c r="E146" i="1"/>
  <c r="F146" i="1" s="1"/>
  <c r="E59" i="1"/>
  <c r="F59" i="1" s="1"/>
  <c r="E137" i="1"/>
  <c r="F137" i="1" s="1"/>
  <c r="E95" i="1"/>
  <c r="F95" i="1" s="1"/>
  <c r="E195" i="1"/>
  <c r="F195" i="1" s="1"/>
  <c r="E113" i="1"/>
  <c r="F113" i="1" s="1"/>
  <c r="E110" i="1"/>
  <c r="F110" i="1" s="1"/>
  <c r="E177" i="1"/>
  <c r="F177" i="1" s="1"/>
  <c r="E66" i="1"/>
  <c r="F66" i="1" s="1"/>
  <c r="E142" i="1"/>
  <c r="F142" i="1" s="1"/>
  <c r="E182" i="1"/>
  <c r="F182" i="1" s="1"/>
  <c r="E18" i="1"/>
  <c r="F18" i="1" s="1"/>
  <c r="E128" i="1"/>
  <c r="F128" i="1" s="1"/>
  <c r="E207" i="1"/>
  <c r="F207" i="1" s="1"/>
  <c r="E111" i="1"/>
  <c r="F111" i="1" s="1"/>
  <c r="E65" i="1"/>
  <c r="F65" i="1" s="1"/>
  <c r="E82" i="1"/>
  <c r="F82" i="1" s="1"/>
  <c r="E144" i="1"/>
  <c r="F144" i="1" s="1"/>
  <c r="E12" i="1"/>
  <c r="F12" i="1" s="1"/>
  <c r="E79" i="1"/>
  <c r="F79" i="1" s="1"/>
  <c r="E166" i="1"/>
  <c r="F166" i="1" s="1"/>
  <c r="E61" i="1"/>
  <c r="F61" i="1" s="1"/>
  <c r="E145" i="1"/>
  <c r="F145" i="1" s="1"/>
  <c r="E71" i="1"/>
  <c r="F71" i="1" s="1"/>
  <c r="E100" i="1"/>
  <c r="F100" i="1" s="1"/>
  <c r="E17" i="1"/>
  <c r="F17" i="1" s="1"/>
  <c r="E157" i="1"/>
  <c r="F157" i="1" s="1"/>
  <c r="E36" i="1"/>
  <c r="F36" i="1" s="1"/>
  <c r="E7" i="1"/>
  <c r="F7" i="1" s="1"/>
  <c r="E16" i="1"/>
  <c r="F16" i="1" s="1"/>
  <c r="E161" i="1"/>
  <c r="F161" i="1" s="1"/>
  <c r="E176" i="1"/>
  <c r="F176" i="1" s="1"/>
  <c r="E94" i="1"/>
  <c r="F94" i="1" s="1"/>
  <c r="E193" i="1"/>
  <c r="F193" i="1" s="1"/>
  <c r="E178" i="1"/>
  <c r="F178" i="1" s="1"/>
  <c r="E200" i="1"/>
  <c r="F200" i="1" s="1"/>
  <c r="E63" i="1"/>
  <c r="F63" i="1" s="1"/>
  <c r="E72" i="1"/>
  <c r="F72" i="1" s="1"/>
  <c r="E6" i="1"/>
  <c r="F6" i="1" s="1"/>
  <c r="E120" i="1"/>
  <c r="F120" i="1" s="1"/>
  <c r="E126" i="1"/>
  <c r="F126" i="1" s="1"/>
  <c r="E44" i="1"/>
  <c r="F44" i="1" s="1"/>
  <c r="E188" i="1"/>
  <c r="F188" i="1" s="1"/>
  <c r="E116" i="1"/>
  <c r="F116" i="1" s="1"/>
  <c r="E30" i="1"/>
  <c r="F30" i="1" s="1"/>
  <c r="E101" i="1"/>
  <c r="F101" i="1" s="1"/>
  <c r="E179" i="1"/>
  <c r="F179" i="1" s="1"/>
  <c r="E88" i="1"/>
  <c r="F88" i="1" s="1"/>
  <c r="E148" i="1"/>
  <c r="F148" i="1" s="1"/>
  <c r="E96" i="1"/>
  <c r="F96" i="1" s="1"/>
  <c r="E87" i="1"/>
  <c r="F87" i="1" s="1"/>
  <c r="E74" i="1"/>
  <c r="F74" i="1" s="1"/>
  <c r="E27" i="1"/>
  <c r="F27" i="1" s="1"/>
  <c r="E112" i="1"/>
  <c r="F112" i="1" s="1"/>
  <c r="E92" i="1"/>
  <c r="F92" i="1" s="1"/>
  <c r="E185" i="1"/>
  <c r="F185" i="1" s="1"/>
  <c r="E117" i="1"/>
  <c r="F117" i="1" s="1"/>
  <c r="E69" i="1"/>
  <c r="F69" i="1" s="1"/>
  <c r="E210" i="1"/>
  <c r="F210" i="1" s="1"/>
  <c r="E26" i="1"/>
  <c r="F26" i="1" s="1"/>
  <c r="E78" i="1"/>
  <c r="F78" i="1" s="1"/>
  <c r="E121" i="1"/>
  <c r="F121" i="1" s="1"/>
  <c r="E35" i="1"/>
  <c r="F35" i="1" s="1"/>
  <c r="E77" i="1"/>
  <c r="F77" i="1" s="1"/>
  <c r="E51" i="1"/>
  <c r="F51" i="1" s="1"/>
  <c r="E196" i="1"/>
  <c r="F196" i="1" s="1"/>
  <c r="E45" i="1"/>
  <c r="F45" i="1" s="1"/>
  <c r="E32" i="1"/>
  <c r="F32" i="1" s="1"/>
  <c r="E106" i="1"/>
  <c r="F106" i="1" s="1"/>
  <c r="E73" i="1"/>
  <c r="F73" i="1" s="1"/>
  <c r="E168" i="1"/>
  <c r="F168" i="1" s="1"/>
  <c r="E83" i="1"/>
  <c r="F83" i="1" s="1"/>
  <c r="E40" i="1"/>
  <c r="F40" i="1" s="1"/>
  <c r="E189" i="1"/>
  <c r="F189" i="1" s="1"/>
  <c r="E187" i="1"/>
  <c r="F187" i="1" s="1"/>
  <c r="E46" i="1"/>
  <c r="F46" i="1" s="1"/>
  <c r="E75" i="1"/>
  <c r="F75" i="1" s="1"/>
  <c r="E109" i="1"/>
  <c r="F109" i="1" s="1"/>
  <c r="E165" i="1"/>
  <c r="F165" i="1" s="1"/>
  <c r="E127" i="1"/>
  <c r="F127" i="1" s="1"/>
  <c r="E85" i="1"/>
  <c r="F85" i="1" s="1"/>
  <c r="E28" i="1"/>
  <c r="F28" i="1" s="1"/>
  <c r="E173" i="1"/>
  <c r="F173" i="1" s="1"/>
  <c r="E19" i="1"/>
  <c r="F19" i="1" s="1"/>
  <c r="E152" i="1"/>
  <c r="F152" i="1" s="1"/>
  <c r="E105" i="1"/>
  <c r="F105" i="1" s="1"/>
  <c r="E37" i="1"/>
  <c r="F37" i="1" s="1"/>
  <c r="E21" i="1"/>
  <c r="F21" i="1" s="1"/>
  <c r="E99" i="1"/>
  <c r="F99" i="1" s="1"/>
  <c r="E89" i="1"/>
  <c r="F89" i="1" s="1"/>
  <c r="E131" i="1"/>
  <c r="F131" i="1" s="1"/>
  <c r="E97" i="1"/>
  <c r="F97" i="1" s="1"/>
  <c r="E202" i="1"/>
  <c r="F202" i="1" s="1"/>
  <c r="E133" i="1"/>
  <c r="F133" i="1" s="1"/>
  <c r="E156" i="1"/>
  <c r="F156" i="1" s="1"/>
  <c r="E10" i="1"/>
  <c r="F10" i="1" s="1"/>
  <c r="E134" i="1"/>
  <c r="F134" i="1" s="1"/>
  <c r="E163" i="1"/>
  <c r="F163" i="1" s="1"/>
  <c r="E80" i="1"/>
  <c r="F80" i="1" s="1"/>
  <c r="E172" i="1"/>
  <c r="F172" i="1" s="1"/>
  <c r="E199" i="1"/>
  <c r="F199" i="1" s="1"/>
  <c r="E38" i="1"/>
  <c r="F38" i="1" s="1"/>
  <c r="E138" i="1"/>
  <c r="F138" i="1" s="1"/>
  <c r="E24" i="1"/>
  <c r="F24" i="1" s="1"/>
  <c r="E22" i="1"/>
  <c r="F22" i="1" s="1"/>
  <c r="E150" i="1"/>
  <c r="F150" i="1" s="1"/>
  <c r="E42" i="1"/>
  <c r="F42" i="1" s="1"/>
  <c r="E208" i="1"/>
  <c r="F208" i="1" s="1"/>
  <c r="E4" i="1"/>
  <c r="F4" i="1" s="1"/>
  <c r="E34" i="1"/>
  <c r="F34" i="1" s="1"/>
  <c r="E52" i="1"/>
  <c r="F52" i="1" s="1"/>
  <c r="E103" i="1"/>
  <c r="F103" i="1" s="1"/>
  <c r="E209" i="1"/>
  <c r="F209" i="1" s="1"/>
  <c r="E191" i="1"/>
  <c r="F191" i="1" s="1"/>
  <c r="E197" i="1"/>
  <c r="F197" i="1" s="1"/>
  <c r="E11" i="1"/>
  <c r="F11" i="1" s="1"/>
  <c r="E50" i="1"/>
  <c r="F50" i="1" s="1"/>
  <c r="E33" i="1"/>
  <c r="F33" i="1" s="1"/>
  <c r="E201" i="1"/>
  <c r="F201" i="1" s="1"/>
  <c r="E81" i="1"/>
  <c r="F81" i="1" s="1"/>
  <c r="E141" i="1"/>
  <c r="F141" i="1" s="1"/>
  <c r="E159" i="1"/>
  <c r="F159" i="1" s="1"/>
  <c r="E118" i="1"/>
  <c r="F118" i="1" s="1"/>
  <c r="E204" i="1"/>
  <c r="F204" i="1" s="1"/>
  <c r="E54" i="1"/>
  <c r="F54" i="1" s="1"/>
  <c r="E171" i="1"/>
  <c r="F171" i="1" s="1"/>
  <c r="E14" i="1"/>
  <c r="F14" i="1" s="1"/>
  <c r="E167" i="1"/>
  <c r="F167" i="1" s="1"/>
  <c r="E169" i="1"/>
  <c r="F169" i="1" s="1"/>
  <c r="E43" i="1"/>
  <c r="F43" i="1" s="1"/>
  <c r="E139" i="1"/>
  <c r="F139" i="1" s="1"/>
  <c r="H3" i="1" l="1"/>
  <c r="I3" i="1" s="1"/>
  <c r="K6" i="2"/>
  <c r="H159" i="1"/>
  <c r="I159" i="1" s="1"/>
  <c r="K159" i="1" s="1"/>
  <c r="H105" i="1"/>
  <c r="I105" i="1" s="1"/>
  <c r="K105" i="1" s="1"/>
  <c r="H53" i="1"/>
  <c r="I53" i="1" s="1"/>
  <c r="K53" i="1" s="1"/>
  <c r="H134" i="1"/>
  <c r="I134" i="1" s="1"/>
  <c r="K134" i="1" s="1"/>
  <c r="H152" i="1"/>
  <c r="I152" i="1" s="1"/>
  <c r="K152" i="1" s="1"/>
  <c r="H100" i="1"/>
  <c r="I100" i="1" s="1"/>
  <c r="K100" i="1" s="1"/>
  <c r="H158" i="1"/>
  <c r="I158" i="1" s="1"/>
  <c r="K158" i="1" s="1"/>
  <c r="H29" i="1"/>
  <c r="I29" i="1" s="1"/>
  <c r="K29" i="1" s="1"/>
  <c r="H8" i="1"/>
  <c r="I8" i="1" s="1"/>
  <c r="K8" i="1" s="1"/>
  <c r="H163" i="1"/>
  <c r="I163" i="1" s="1"/>
  <c r="K163" i="1" s="1"/>
  <c r="H121" i="1"/>
  <c r="I121" i="1" s="1"/>
  <c r="K121" i="1" s="1"/>
  <c r="H17" i="1"/>
  <c r="I17" i="1" s="1"/>
  <c r="K17" i="1" s="1"/>
  <c r="H149" i="1"/>
  <c r="I149" i="1" s="1"/>
  <c r="K149" i="1" s="1"/>
  <c r="H60" i="1"/>
  <c r="I60" i="1" s="1"/>
  <c r="K60" i="1" s="1"/>
  <c r="H51" i="1"/>
  <c r="I51" i="1" s="1"/>
  <c r="K51" i="1" s="1"/>
  <c r="H77" i="1"/>
  <c r="I77" i="1" s="1"/>
  <c r="K77" i="1" s="1"/>
  <c r="H80" i="1"/>
  <c r="I80" i="1" s="1"/>
  <c r="K80" i="1" s="1"/>
  <c r="H35" i="1"/>
  <c r="I35" i="1" s="1"/>
  <c r="K35" i="1" s="1"/>
  <c r="H137" i="1"/>
  <c r="I137" i="1" s="1"/>
  <c r="K137" i="1" s="1"/>
  <c r="H15" i="1"/>
  <c r="I15" i="1" s="1"/>
  <c r="K15" i="1" s="1"/>
  <c r="H124" i="1"/>
  <c r="I124" i="1" s="1"/>
  <c r="K124" i="1" s="1"/>
  <c r="H54" i="1"/>
  <c r="I54" i="1" s="1"/>
  <c r="K54" i="1" s="1"/>
  <c r="H199" i="1"/>
  <c r="I199" i="1" s="1"/>
  <c r="K199" i="1" s="1"/>
  <c r="H99" i="1"/>
  <c r="I99" i="1" s="1"/>
  <c r="K99" i="1" s="1"/>
  <c r="H7" i="1"/>
  <c r="I7" i="1" s="1"/>
  <c r="K7" i="1" s="1"/>
  <c r="H195" i="1"/>
  <c r="I195" i="1" s="1"/>
  <c r="K195" i="1" s="1"/>
  <c r="H122" i="1"/>
  <c r="I122" i="1" s="1"/>
  <c r="K122" i="1" s="1"/>
  <c r="H162" i="1"/>
  <c r="I162" i="1" s="1"/>
  <c r="K162" i="1" s="1"/>
  <c r="H160" i="1"/>
  <c r="I160" i="1" s="1"/>
  <c r="K160" i="1" s="1"/>
  <c r="H172" i="1"/>
  <c r="I172" i="1" s="1"/>
  <c r="K172" i="1" s="1"/>
  <c r="H95" i="1"/>
  <c r="I95" i="1" s="1"/>
  <c r="K95" i="1" s="1"/>
  <c r="H55" i="1"/>
  <c r="I55" i="1" s="1"/>
  <c r="K55" i="1" s="1"/>
  <c r="H14" i="1"/>
  <c r="I14" i="1" s="1"/>
  <c r="K14" i="1" s="1"/>
  <c r="H197" i="1"/>
  <c r="I197" i="1" s="1"/>
  <c r="K197" i="1" s="1"/>
  <c r="H138" i="1"/>
  <c r="I138" i="1" s="1"/>
  <c r="K138" i="1" s="1"/>
  <c r="H131" i="1"/>
  <c r="I131" i="1" s="1"/>
  <c r="K131" i="1" s="1"/>
  <c r="H165" i="1"/>
  <c r="I165" i="1" s="1"/>
  <c r="K165" i="1" s="1"/>
  <c r="H45" i="1"/>
  <c r="I45" i="1" s="1"/>
  <c r="K45" i="1" s="1"/>
  <c r="H92" i="1"/>
  <c r="I92" i="1" s="1"/>
  <c r="K92" i="1" s="1"/>
  <c r="H188" i="1"/>
  <c r="I188" i="1" s="1"/>
  <c r="K188" i="1" s="1"/>
  <c r="H161" i="1"/>
  <c r="I161" i="1" s="1"/>
  <c r="K161" i="1" s="1"/>
  <c r="H12" i="1"/>
  <c r="I12" i="1" s="1"/>
  <c r="K12" i="1" s="1"/>
  <c r="H110" i="1"/>
  <c r="I110" i="1" s="1"/>
  <c r="K110" i="1" s="1"/>
  <c r="H13" i="1"/>
  <c r="I13" i="1" s="1"/>
  <c r="K13" i="1" s="1"/>
  <c r="H194" i="1"/>
  <c r="I194" i="1" s="1"/>
  <c r="K194" i="1" s="1"/>
  <c r="H174" i="1"/>
  <c r="I174" i="1" s="1"/>
  <c r="K174" i="1" s="1"/>
  <c r="H181" i="1"/>
  <c r="I181" i="1" s="1"/>
  <c r="K181" i="1" s="1"/>
  <c r="H170" i="1"/>
  <c r="I170" i="1" s="1"/>
  <c r="K170" i="1" s="1"/>
  <c r="H107" i="1"/>
  <c r="I107" i="1" s="1"/>
  <c r="K107" i="1" s="1"/>
  <c r="H192" i="1"/>
  <c r="I192" i="1" s="1"/>
  <c r="K192" i="1" s="1"/>
  <c r="H208" i="1"/>
  <c r="I208" i="1" s="1"/>
  <c r="K208" i="1" s="1"/>
  <c r="H10" i="1"/>
  <c r="I10" i="1" s="1"/>
  <c r="K10" i="1" s="1"/>
  <c r="H83" i="1"/>
  <c r="I83" i="1" s="1"/>
  <c r="K83" i="1" s="1"/>
  <c r="H71" i="1"/>
  <c r="I71" i="1" s="1"/>
  <c r="K71" i="1" s="1"/>
  <c r="H5" i="1"/>
  <c r="I5" i="1" s="1"/>
  <c r="K5" i="1" s="1"/>
  <c r="H206" i="1"/>
  <c r="I206" i="1" s="1"/>
  <c r="K206" i="1" s="1"/>
  <c r="H139" i="1"/>
  <c r="H201" i="1"/>
  <c r="I201" i="1" s="1"/>
  <c r="K201" i="1" s="1"/>
  <c r="H42" i="1"/>
  <c r="I42" i="1" s="1"/>
  <c r="K42" i="1" s="1"/>
  <c r="H156" i="1"/>
  <c r="I156" i="1" s="1"/>
  <c r="K156" i="1" s="1"/>
  <c r="H173" i="1"/>
  <c r="I173" i="1" s="1"/>
  <c r="K173" i="1" s="1"/>
  <c r="H168" i="1"/>
  <c r="I168" i="1" s="1"/>
  <c r="K168" i="1" s="1"/>
  <c r="H210" i="1"/>
  <c r="I210" i="1" s="1"/>
  <c r="K210" i="1" s="1"/>
  <c r="H178" i="1"/>
  <c r="I178" i="1" s="1"/>
  <c r="K178" i="1" s="1"/>
  <c r="H145" i="1"/>
  <c r="I145" i="1" s="1"/>
  <c r="K145" i="1" s="1"/>
  <c r="H182" i="1"/>
  <c r="I182" i="1" s="1"/>
  <c r="K182" i="1" s="1"/>
  <c r="H25" i="1"/>
  <c r="I25" i="1" s="1"/>
  <c r="K25" i="1" s="1"/>
  <c r="H102" i="1"/>
  <c r="I102" i="1" s="1"/>
  <c r="K102" i="1" s="1"/>
  <c r="H175" i="1"/>
  <c r="I175" i="1" s="1"/>
  <c r="K175" i="1" s="1"/>
  <c r="H203" i="1"/>
  <c r="I203" i="1" s="1"/>
  <c r="K203" i="1" s="1"/>
  <c r="H47" i="1"/>
  <c r="I47" i="1" s="1"/>
  <c r="K47" i="1" s="1"/>
  <c r="H155" i="1"/>
  <c r="I155" i="1" s="1"/>
  <c r="K155" i="1" s="1"/>
  <c r="H59" i="1"/>
  <c r="I59" i="1" s="1"/>
  <c r="K59" i="1" s="1"/>
  <c r="H78" i="1"/>
  <c r="I78" i="1" s="1"/>
  <c r="K78" i="1" s="1"/>
  <c r="H88" i="1"/>
  <c r="I88" i="1" s="1"/>
  <c r="K88" i="1" s="1"/>
  <c r="H179" i="1"/>
  <c r="I179" i="1" s="1"/>
  <c r="K179" i="1" s="1"/>
  <c r="H18" i="1"/>
  <c r="I18" i="1" s="1"/>
  <c r="K18" i="1" s="1"/>
  <c r="H184" i="1"/>
  <c r="I184" i="1" s="1"/>
  <c r="K184" i="1" s="1"/>
  <c r="H67" i="1"/>
  <c r="I67" i="1" s="1"/>
  <c r="K67" i="1" s="1"/>
  <c r="H43" i="1"/>
  <c r="I43" i="1" s="1"/>
  <c r="K43" i="1" s="1"/>
  <c r="H33" i="1"/>
  <c r="I33" i="1" s="1"/>
  <c r="K33" i="1" s="1"/>
  <c r="H133" i="1"/>
  <c r="I133" i="1" s="1"/>
  <c r="K133" i="1" s="1"/>
  <c r="H28" i="1"/>
  <c r="I28" i="1" s="1"/>
  <c r="K28" i="1" s="1"/>
  <c r="H73" i="1"/>
  <c r="I73" i="1" s="1"/>
  <c r="K73" i="1" s="1"/>
  <c r="H69" i="1"/>
  <c r="I69" i="1" s="1"/>
  <c r="K69" i="1" s="1"/>
  <c r="H101" i="1"/>
  <c r="I101" i="1" s="1"/>
  <c r="K101" i="1" s="1"/>
  <c r="H193" i="1"/>
  <c r="I193" i="1" s="1"/>
  <c r="K193" i="1" s="1"/>
  <c r="H61" i="1"/>
  <c r="I61" i="1" s="1"/>
  <c r="K61" i="1" s="1"/>
  <c r="H142" i="1"/>
  <c r="I142" i="1" s="1"/>
  <c r="K142" i="1" s="1"/>
  <c r="H58" i="1"/>
  <c r="I58" i="1" s="1"/>
  <c r="K58" i="1" s="1"/>
  <c r="H115" i="1"/>
  <c r="I115" i="1" s="1"/>
  <c r="K115" i="1" s="1"/>
  <c r="H39" i="1"/>
  <c r="I39" i="1" s="1"/>
  <c r="K39" i="1" s="1"/>
  <c r="H93" i="1"/>
  <c r="I93" i="1" s="1"/>
  <c r="K93" i="1" s="1"/>
  <c r="H108" i="1"/>
  <c r="I108" i="1" s="1"/>
  <c r="K108" i="1" s="1"/>
  <c r="H9" i="1"/>
  <c r="I9" i="1" s="1"/>
  <c r="K9" i="1" s="1"/>
  <c r="H76" i="1"/>
  <c r="I76" i="1" s="1"/>
  <c r="K76" i="1" s="1"/>
  <c r="H81" i="1"/>
  <c r="I81" i="1" s="1"/>
  <c r="K81" i="1" s="1"/>
  <c r="H19" i="1"/>
  <c r="I19" i="1" s="1"/>
  <c r="K19" i="1" s="1"/>
  <c r="H26" i="1"/>
  <c r="I26" i="1" s="1"/>
  <c r="K26" i="1" s="1"/>
  <c r="H200" i="1"/>
  <c r="I200" i="1" s="1"/>
  <c r="K200" i="1" s="1"/>
  <c r="H146" i="1"/>
  <c r="I146" i="1" s="1"/>
  <c r="K146" i="1" s="1"/>
  <c r="H48" i="1"/>
  <c r="I48" i="1" s="1"/>
  <c r="K48" i="1" s="1"/>
  <c r="H125" i="1"/>
  <c r="I125" i="1" s="1"/>
  <c r="K125" i="1" s="1"/>
  <c r="H169" i="1"/>
  <c r="I169" i="1" s="1"/>
  <c r="K169" i="1" s="1"/>
  <c r="H50" i="1"/>
  <c r="I50" i="1" s="1"/>
  <c r="K50" i="1" s="1"/>
  <c r="H22" i="1"/>
  <c r="I22" i="1" s="1"/>
  <c r="K22" i="1" s="1"/>
  <c r="H202" i="1"/>
  <c r="I202" i="1" s="1"/>
  <c r="K202" i="1" s="1"/>
  <c r="H85" i="1"/>
  <c r="I85" i="1" s="1"/>
  <c r="K85" i="1" s="1"/>
  <c r="H106" i="1"/>
  <c r="I106" i="1" s="1"/>
  <c r="K106" i="1" s="1"/>
  <c r="H117" i="1"/>
  <c r="I117" i="1" s="1"/>
  <c r="K117" i="1" s="1"/>
  <c r="H30" i="1"/>
  <c r="I30" i="1" s="1"/>
  <c r="K30" i="1" s="1"/>
  <c r="H94" i="1"/>
  <c r="I94" i="1" s="1"/>
  <c r="K94" i="1" s="1"/>
  <c r="H166" i="1"/>
  <c r="I166" i="1" s="1"/>
  <c r="K166" i="1" s="1"/>
  <c r="H66" i="1"/>
  <c r="I66" i="1" s="1"/>
  <c r="K66" i="1" s="1"/>
  <c r="H49" i="1"/>
  <c r="I49" i="1" s="1"/>
  <c r="K49" i="1" s="1"/>
  <c r="H135" i="1"/>
  <c r="I135" i="1" s="1"/>
  <c r="K135" i="1" s="1"/>
  <c r="H186" i="1"/>
  <c r="I186" i="1" s="1"/>
  <c r="K186" i="1" s="1"/>
  <c r="H23" i="1"/>
  <c r="I23" i="1" s="1"/>
  <c r="K23" i="1" s="1"/>
  <c r="H136" i="1"/>
  <c r="I136" i="1" s="1"/>
  <c r="K136" i="1" s="1"/>
  <c r="H153" i="1"/>
  <c r="I153" i="1" s="1"/>
  <c r="K153" i="1" s="1"/>
  <c r="H20" i="1"/>
  <c r="I20" i="1" s="1"/>
  <c r="K20" i="1" s="1"/>
  <c r="H141" i="1"/>
  <c r="I141" i="1" s="1"/>
  <c r="K141" i="1" s="1"/>
  <c r="H150" i="1"/>
  <c r="I150" i="1" s="1"/>
  <c r="K150" i="1" s="1"/>
  <c r="H167" i="1"/>
  <c r="I167" i="1" s="1"/>
  <c r="K167" i="1" s="1"/>
  <c r="H11" i="1"/>
  <c r="I11" i="1" s="1"/>
  <c r="K11" i="1" s="1"/>
  <c r="H24" i="1"/>
  <c r="I24" i="1" s="1"/>
  <c r="K24" i="1" s="1"/>
  <c r="H97" i="1"/>
  <c r="I97" i="1" s="1"/>
  <c r="K97" i="1" s="1"/>
  <c r="H127" i="1"/>
  <c r="I127" i="1" s="1"/>
  <c r="K127" i="1" s="1"/>
  <c r="H32" i="1"/>
  <c r="I32" i="1" s="1"/>
  <c r="K32" i="1" s="1"/>
  <c r="H185" i="1"/>
  <c r="I185" i="1" s="1"/>
  <c r="K185" i="1" s="1"/>
  <c r="H116" i="1"/>
  <c r="I116" i="1" s="1"/>
  <c r="K116" i="1" s="1"/>
  <c r="H176" i="1"/>
  <c r="I176" i="1" s="1"/>
  <c r="K176" i="1" s="1"/>
  <c r="H79" i="1"/>
  <c r="I79" i="1" s="1"/>
  <c r="K79" i="1" s="1"/>
  <c r="H177" i="1"/>
  <c r="I177" i="1" s="1"/>
  <c r="K177" i="1" s="1"/>
  <c r="H68" i="1"/>
  <c r="I68" i="1" s="1"/>
  <c r="K68" i="1" s="1"/>
  <c r="H84" i="1"/>
  <c r="I84" i="1" s="1"/>
  <c r="K84" i="1" s="1"/>
  <c r="H130" i="1"/>
  <c r="I130" i="1" s="1"/>
  <c r="K130" i="1" s="1"/>
  <c r="H31" i="1"/>
  <c r="I31" i="1" s="1"/>
  <c r="K31" i="1" s="1"/>
  <c r="H140" i="1"/>
  <c r="I140" i="1" s="1"/>
  <c r="K140" i="1" s="1"/>
  <c r="H147" i="1"/>
  <c r="I147" i="1" s="1"/>
  <c r="K147" i="1" s="1"/>
  <c r="H90" i="1"/>
  <c r="I90" i="1" s="1"/>
  <c r="K90" i="1" s="1"/>
  <c r="H126" i="1"/>
  <c r="I126" i="1" s="1"/>
  <c r="K126" i="1" s="1"/>
  <c r="H120" i="1"/>
  <c r="I120" i="1" s="1"/>
  <c r="K120" i="1" s="1"/>
  <c r="H104" i="1"/>
  <c r="I104" i="1" s="1"/>
  <c r="K104" i="1" s="1"/>
  <c r="H6" i="1"/>
  <c r="I6" i="1" s="1"/>
  <c r="K6" i="1" s="1"/>
  <c r="H82" i="1"/>
  <c r="I82" i="1" s="1"/>
  <c r="K82" i="1" s="1"/>
  <c r="H151" i="1"/>
  <c r="I151" i="1" s="1"/>
  <c r="K151" i="1" s="1"/>
  <c r="H209" i="1"/>
  <c r="I209" i="1" s="1"/>
  <c r="K209" i="1" s="1"/>
  <c r="H75" i="1"/>
  <c r="I75" i="1" s="1"/>
  <c r="K75" i="1" s="1"/>
  <c r="H72" i="1"/>
  <c r="I72" i="1" s="1"/>
  <c r="K72" i="1" s="1"/>
  <c r="H65" i="1"/>
  <c r="I65" i="1" s="1"/>
  <c r="K65" i="1" s="1"/>
  <c r="H62" i="1"/>
  <c r="I62" i="1" s="1"/>
  <c r="K62" i="1" s="1"/>
  <c r="H98" i="1"/>
  <c r="I98" i="1" s="1"/>
  <c r="K98" i="1" s="1"/>
  <c r="H103" i="1"/>
  <c r="I103" i="1" s="1"/>
  <c r="K103" i="1" s="1"/>
  <c r="H46" i="1"/>
  <c r="I46" i="1" s="1"/>
  <c r="K46" i="1" s="1"/>
  <c r="H63" i="1"/>
  <c r="I63" i="1" s="1"/>
  <c r="K63" i="1" s="1"/>
  <c r="H111" i="1"/>
  <c r="I111" i="1" s="1"/>
  <c r="K111" i="1" s="1"/>
  <c r="H132" i="1"/>
  <c r="I132" i="1" s="1"/>
  <c r="K132" i="1" s="1"/>
  <c r="H91" i="1"/>
  <c r="I91" i="1" s="1"/>
  <c r="K91" i="1" s="1"/>
  <c r="H123" i="1"/>
  <c r="I123" i="1" s="1"/>
  <c r="K123" i="1" s="1"/>
  <c r="H171" i="1"/>
  <c r="I171" i="1" s="1"/>
  <c r="K171" i="1" s="1"/>
  <c r="H191" i="1"/>
  <c r="I191" i="1" s="1"/>
  <c r="K191" i="1" s="1"/>
  <c r="H38" i="1"/>
  <c r="I38" i="1" s="1"/>
  <c r="K38" i="1" s="1"/>
  <c r="H89" i="1"/>
  <c r="I89" i="1" s="1"/>
  <c r="K89" i="1" s="1"/>
  <c r="H109" i="1"/>
  <c r="I109" i="1" s="1"/>
  <c r="K109" i="1" s="1"/>
  <c r="H196" i="1"/>
  <c r="I196" i="1" s="1"/>
  <c r="K196" i="1" s="1"/>
  <c r="H112" i="1"/>
  <c r="I112" i="1" s="1"/>
  <c r="K112" i="1" s="1"/>
  <c r="H44" i="1"/>
  <c r="I44" i="1" s="1"/>
  <c r="K44" i="1" s="1"/>
  <c r="H16" i="1"/>
  <c r="I16" i="1" s="1"/>
  <c r="K16" i="1" s="1"/>
  <c r="H144" i="1"/>
  <c r="I144" i="1" s="1"/>
  <c r="K144" i="1" s="1"/>
  <c r="H113" i="1"/>
  <c r="I113" i="1" s="1"/>
  <c r="K113" i="1" s="1"/>
  <c r="H2" i="1"/>
  <c r="I2" i="1" s="1"/>
  <c r="K2" i="1" s="1"/>
  <c r="H41" i="1"/>
  <c r="I41" i="1" s="1"/>
  <c r="K41" i="1" s="1"/>
  <c r="H129" i="1"/>
  <c r="I129" i="1" s="1"/>
  <c r="K129" i="1" s="1"/>
  <c r="H119" i="1"/>
  <c r="I119" i="1" s="1"/>
  <c r="K119" i="1" s="1"/>
  <c r="H198" i="1"/>
  <c r="I198" i="1" s="1"/>
  <c r="K198" i="1" s="1"/>
  <c r="H211" i="1"/>
  <c r="I211" i="1" s="1"/>
  <c r="K211" i="1" s="1"/>
  <c r="H57" i="1"/>
  <c r="I57" i="1" s="1"/>
  <c r="K57" i="1" s="1"/>
  <c r="H52" i="1"/>
  <c r="I52" i="1" s="1"/>
  <c r="K52" i="1" s="1"/>
  <c r="H187" i="1"/>
  <c r="I187" i="1" s="1"/>
  <c r="K187" i="1" s="1"/>
  <c r="H27" i="1"/>
  <c r="I27" i="1" s="1"/>
  <c r="K27" i="1" s="1"/>
  <c r="H207" i="1"/>
  <c r="I207" i="1" s="1"/>
  <c r="K207" i="1" s="1"/>
  <c r="H154" i="1"/>
  <c r="I154" i="1" s="1"/>
  <c r="K154" i="1" s="1"/>
  <c r="H183" i="1"/>
  <c r="I183" i="1" s="1"/>
  <c r="K183" i="1" s="1"/>
  <c r="H190" i="1"/>
  <c r="I190" i="1" s="1"/>
  <c r="K190" i="1" s="1"/>
  <c r="H34" i="1"/>
  <c r="I34" i="1" s="1"/>
  <c r="K34" i="1" s="1"/>
  <c r="H189" i="1"/>
  <c r="I189" i="1" s="1"/>
  <c r="K189" i="1" s="1"/>
  <c r="H74" i="1"/>
  <c r="I74" i="1" s="1"/>
  <c r="K74" i="1" s="1"/>
  <c r="H128" i="1"/>
  <c r="I128" i="1" s="1"/>
  <c r="K128" i="1" s="1"/>
  <c r="H114" i="1"/>
  <c r="I114" i="1" s="1"/>
  <c r="K114" i="1" s="1"/>
  <c r="H86" i="1"/>
  <c r="I86" i="1" s="1"/>
  <c r="K86" i="1" s="1"/>
  <c r="H4" i="1"/>
  <c r="I4" i="1" s="1"/>
  <c r="K4" i="1" s="1"/>
  <c r="H40" i="1"/>
  <c r="I40" i="1" s="1"/>
  <c r="K40" i="1" s="1"/>
  <c r="H87" i="1"/>
  <c r="I87" i="1" s="1"/>
  <c r="K87" i="1" s="1"/>
  <c r="H70" i="1"/>
  <c r="I70" i="1" s="1"/>
  <c r="K70" i="1" s="1"/>
  <c r="H205" i="1"/>
  <c r="I205" i="1" s="1"/>
  <c r="K205" i="1" s="1"/>
  <c r="H164" i="1"/>
  <c r="I164" i="1" s="1"/>
  <c r="K164" i="1" s="1"/>
  <c r="H204" i="1"/>
  <c r="I204" i="1" s="1"/>
  <c r="K204" i="1" s="1"/>
  <c r="H21" i="1"/>
  <c r="I21" i="1" s="1"/>
  <c r="K21" i="1" s="1"/>
  <c r="H96" i="1"/>
  <c r="I96" i="1" s="1"/>
  <c r="K96" i="1" s="1"/>
  <c r="H36" i="1"/>
  <c r="I36" i="1" s="1"/>
  <c r="K36" i="1" s="1"/>
  <c r="H56" i="1"/>
  <c r="I56" i="1" s="1"/>
  <c r="K56" i="1" s="1"/>
  <c r="H180" i="1"/>
  <c r="I180" i="1" s="1"/>
  <c r="K180" i="1" s="1"/>
  <c r="H118" i="1"/>
  <c r="I118" i="1" s="1"/>
  <c r="K118" i="1" s="1"/>
  <c r="H37" i="1"/>
  <c r="I37" i="1" s="1"/>
  <c r="K37" i="1" s="1"/>
  <c r="H148" i="1"/>
  <c r="I148" i="1" s="1"/>
  <c r="K148" i="1" s="1"/>
  <c r="H157" i="1"/>
  <c r="I157" i="1" s="1"/>
  <c r="K157" i="1" s="1"/>
  <c r="H143" i="1"/>
  <c r="I143" i="1" s="1"/>
  <c r="K143" i="1" s="1"/>
  <c r="H64" i="1"/>
  <c r="I64" i="1" s="1"/>
  <c r="K64" i="1" s="1"/>
  <c r="J3" i="1" l="1"/>
  <c r="K3" i="1"/>
  <c r="J36" i="1"/>
  <c r="J128" i="1"/>
  <c r="J211" i="1"/>
  <c r="J109" i="1"/>
  <c r="J98" i="1"/>
  <c r="J90" i="1"/>
  <c r="J32" i="1"/>
  <c r="J186" i="1"/>
  <c r="J50" i="1"/>
  <c r="J93" i="1"/>
  <c r="J33" i="1"/>
  <c r="J175" i="1"/>
  <c r="J194" i="1"/>
  <c r="J14" i="1"/>
  <c r="J124" i="1"/>
  <c r="J8" i="1"/>
  <c r="J96" i="1"/>
  <c r="J74" i="1"/>
  <c r="J198" i="1"/>
  <c r="J89" i="1"/>
  <c r="J62" i="1"/>
  <c r="J147" i="1"/>
  <c r="J127" i="1"/>
  <c r="J135" i="1"/>
  <c r="J169" i="1"/>
  <c r="J39" i="1"/>
  <c r="J43" i="1"/>
  <c r="J102" i="1"/>
  <c r="J206" i="1"/>
  <c r="J13" i="1"/>
  <c r="J55" i="1"/>
  <c r="J15" i="1"/>
  <c r="J29" i="1"/>
  <c r="J21" i="1"/>
  <c r="J189" i="1"/>
  <c r="J119" i="1"/>
  <c r="J38" i="1"/>
  <c r="J65" i="1"/>
  <c r="J140" i="1"/>
  <c r="J97" i="1"/>
  <c r="J49" i="1"/>
  <c r="J125" i="1"/>
  <c r="J115" i="1"/>
  <c r="J67" i="1"/>
  <c r="J25" i="1"/>
  <c r="J5" i="1"/>
  <c r="J110" i="1"/>
  <c r="J95" i="1"/>
  <c r="J137" i="1"/>
  <c r="J158" i="1"/>
  <c r="J204" i="1"/>
  <c r="J34" i="1"/>
  <c r="J129" i="1"/>
  <c r="J191" i="1"/>
  <c r="J72" i="1"/>
  <c r="J31" i="1"/>
  <c r="J24" i="1"/>
  <c r="J66" i="1"/>
  <c r="J48" i="1"/>
  <c r="J58" i="1"/>
  <c r="J184" i="1"/>
  <c r="J182" i="1"/>
  <c r="A6" i="2"/>
  <c r="J12" i="1"/>
  <c r="J172" i="1"/>
  <c r="J35" i="1"/>
  <c r="J100" i="1"/>
  <c r="J64" i="1"/>
  <c r="J164" i="1"/>
  <c r="J190" i="1"/>
  <c r="J41" i="1"/>
  <c r="J171" i="1"/>
  <c r="J75" i="1"/>
  <c r="J130" i="1"/>
  <c r="J11" i="1"/>
  <c r="J166" i="1"/>
  <c r="J146" i="1"/>
  <c r="J142" i="1"/>
  <c r="J18" i="1"/>
  <c r="J145" i="1"/>
  <c r="J83" i="1"/>
  <c r="J161" i="1"/>
  <c r="J160" i="1"/>
  <c r="J80" i="1"/>
  <c r="J152" i="1"/>
  <c r="J143" i="1"/>
  <c r="J205" i="1"/>
  <c r="J183" i="1"/>
  <c r="J2" i="1"/>
  <c r="J123" i="1"/>
  <c r="J209" i="1"/>
  <c r="J84" i="1"/>
  <c r="J167" i="1"/>
  <c r="J94" i="1"/>
  <c r="J200" i="1"/>
  <c r="J61" i="1"/>
  <c r="J179" i="1"/>
  <c r="J178" i="1"/>
  <c r="J10" i="1"/>
  <c r="J188" i="1"/>
  <c r="J162" i="1"/>
  <c r="J77" i="1"/>
  <c r="J134" i="1"/>
  <c r="J157" i="1"/>
  <c r="J70" i="1"/>
  <c r="J154" i="1"/>
  <c r="J113" i="1"/>
  <c r="J91" i="1"/>
  <c r="J151" i="1"/>
  <c r="J68" i="1"/>
  <c r="J150" i="1"/>
  <c r="J30" i="1"/>
  <c r="J26" i="1"/>
  <c r="J193" i="1"/>
  <c r="J88" i="1"/>
  <c r="J210" i="1"/>
  <c r="J208" i="1"/>
  <c r="J92" i="1"/>
  <c r="J122" i="1"/>
  <c r="J51" i="1"/>
  <c r="J53" i="1"/>
  <c r="J148" i="1"/>
  <c r="J87" i="1"/>
  <c r="J207" i="1"/>
  <c r="J144" i="1"/>
  <c r="J132" i="1"/>
  <c r="J82" i="1"/>
  <c r="J177" i="1"/>
  <c r="J141" i="1"/>
  <c r="J117" i="1"/>
  <c r="J19" i="1"/>
  <c r="J101" i="1"/>
  <c r="J78" i="1"/>
  <c r="J168" i="1"/>
  <c r="J192" i="1"/>
  <c r="J45" i="1"/>
  <c r="J195" i="1"/>
  <c r="J60" i="1"/>
  <c r="J37" i="1"/>
  <c r="J40" i="1"/>
  <c r="J27" i="1"/>
  <c r="J16" i="1"/>
  <c r="J111" i="1"/>
  <c r="J6" i="1"/>
  <c r="J79" i="1"/>
  <c r="J20" i="1"/>
  <c r="J106" i="1"/>
  <c r="J81" i="1"/>
  <c r="J69" i="1"/>
  <c r="J59" i="1"/>
  <c r="J173" i="1"/>
  <c r="J107" i="1"/>
  <c r="J165" i="1"/>
  <c r="J7" i="1"/>
  <c r="J149" i="1"/>
  <c r="J105" i="1"/>
  <c r="J118" i="1"/>
  <c r="J4" i="1"/>
  <c r="J187" i="1"/>
  <c r="J44" i="1"/>
  <c r="J63" i="1"/>
  <c r="J104" i="1"/>
  <c r="J176" i="1"/>
  <c r="J153" i="1"/>
  <c r="J85" i="1"/>
  <c r="J76" i="1"/>
  <c r="J73" i="1"/>
  <c r="J155" i="1"/>
  <c r="J156" i="1"/>
  <c r="J170" i="1"/>
  <c r="J131" i="1"/>
  <c r="J99" i="1"/>
  <c r="J17" i="1"/>
  <c r="J159" i="1"/>
  <c r="J180" i="1"/>
  <c r="J86" i="1"/>
  <c r="J52" i="1"/>
  <c r="J112" i="1"/>
  <c r="J46" i="1"/>
  <c r="J120" i="1"/>
  <c r="J116" i="1"/>
  <c r="J136" i="1"/>
  <c r="J202" i="1"/>
  <c r="J9" i="1"/>
  <c r="J28" i="1"/>
  <c r="J47" i="1"/>
  <c r="J42" i="1"/>
  <c r="J181" i="1"/>
  <c r="J138" i="1"/>
  <c r="J199" i="1"/>
  <c r="J121" i="1"/>
  <c r="J56" i="1"/>
  <c r="J114" i="1"/>
  <c r="J57" i="1"/>
  <c r="J196" i="1"/>
  <c r="J103" i="1"/>
  <c r="J126" i="1"/>
  <c r="J185" i="1"/>
  <c r="J23" i="1"/>
  <c r="J22" i="1"/>
  <c r="J108" i="1"/>
  <c r="J133" i="1"/>
  <c r="J203" i="1"/>
  <c r="J201" i="1"/>
  <c r="J174" i="1"/>
  <c r="J197" i="1"/>
  <c r="J54" i="1"/>
  <c r="J163" i="1"/>
  <c r="J71" i="1"/>
  <c r="E6" i="2"/>
  <c r="I139" i="1"/>
  <c r="K139" i="1" l="1"/>
  <c r="J139" i="1"/>
</calcChain>
</file>

<file path=xl/sharedStrings.xml><?xml version="1.0" encoding="utf-8"?>
<sst xmlns="http://schemas.openxmlformats.org/spreadsheetml/2006/main" count="672" uniqueCount="254">
  <si>
    <t>Department</t>
  </si>
  <si>
    <t>Sales</t>
  </si>
  <si>
    <t>Finance</t>
  </si>
  <si>
    <t>Marketing</t>
  </si>
  <si>
    <t>IT</t>
  </si>
  <si>
    <t>Nicole Mason</t>
  </si>
  <si>
    <t>Brandon Rowe</t>
  </si>
  <si>
    <t>Matilda Lambert</t>
  </si>
  <si>
    <t>Mario Torres</t>
  </si>
  <si>
    <t>Violet Pollard</t>
  </si>
  <si>
    <t>Jad York</t>
  </si>
  <si>
    <t>Milan Park</t>
  </si>
  <si>
    <t>Daxton McIntyre</t>
  </si>
  <si>
    <t>Rebekah Boyle</t>
  </si>
  <si>
    <t>Robin Page</t>
  </si>
  <si>
    <t>Cataleya Curtis</t>
  </si>
  <si>
    <t>Muhammad Reynolds</t>
  </si>
  <si>
    <t>Isabelle Kennedy</t>
  </si>
  <si>
    <t>Maxwell Butler</t>
  </si>
  <si>
    <t>Athena Bender</t>
  </si>
  <si>
    <t>Zavier Murray</t>
  </si>
  <si>
    <t>Faith Golden</t>
  </si>
  <si>
    <t>Amias Archer</t>
  </si>
  <si>
    <t>Kadence Vasquez</t>
  </si>
  <si>
    <t>Rowan Carter</t>
  </si>
  <si>
    <t>Lucy Thompson</t>
  </si>
  <si>
    <t>Theodore Cannon</t>
  </si>
  <si>
    <t>Noa Acevedo</t>
  </si>
  <si>
    <t>Dakari Stevens</t>
  </si>
  <si>
    <t>Katherine Sheppard</t>
  </si>
  <si>
    <t>Trent Maddox</t>
  </si>
  <si>
    <t>Zainab Norton</t>
  </si>
  <si>
    <t>Callen Valenzuela</t>
  </si>
  <si>
    <t>Henley Shaw</t>
  </si>
  <si>
    <t>Elliot Pham</t>
  </si>
  <si>
    <t>Raelyn Patrick</t>
  </si>
  <si>
    <t>Derrick Hayden</t>
  </si>
  <si>
    <t>Avayah Wall</t>
  </si>
  <si>
    <t>Issac McConnell</t>
  </si>
  <si>
    <t>Denise Bush</t>
  </si>
  <si>
    <t>Tyson Vu</t>
  </si>
  <si>
    <t>Kimora Chapman</t>
  </si>
  <si>
    <t>Knox Cherry</t>
  </si>
  <si>
    <t>Nyomi Nelson</t>
  </si>
  <si>
    <t>Dylan Faulkner</t>
  </si>
  <si>
    <t>Ansley Simmons</t>
  </si>
  <si>
    <t>Harrison Alfaro</t>
  </si>
  <si>
    <t>Yasmin Cole</t>
  </si>
  <si>
    <t>Nathaniel Leonard</t>
  </si>
  <si>
    <t>Demi Morrison</t>
  </si>
  <si>
    <t>Maximus Harper</t>
  </si>
  <si>
    <t>Ana Anthony</t>
  </si>
  <si>
    <t>Shiloh Carroll</t>
  </si>
  <si>
    <t>Zara Horne</t>
  </si>
  <si>
    <t>Zev Douglas</t>
  </si>
  <si>
    <t>Aniyah Murray</t>
  </si>
  <si>
    <t>Ashton Hendrix</t>
  </si>
  <si>
    <t>Zhuri Steele</t>
  </si>
  <si>
    <t>Elian Rose</t>
  </si>
  <si>
    <t>Magnolia Hicks</t>
  </si>
  <si>
    <t>Maddox Hensley</t>
  </si>
  <si>
    <t>Malaya Parrish</t>
  </si>
  <si>
    <t>Karsyn Hampton</t>
  </si>
  <si>
    <t>Leona Spence</t>
  </si>
  <si>
    <t>Cillian Davis</t>
  </si>
  <si>
    <t>Mia Schneider</t>
  </si>
  <si>
    <t>Raymond Pitts</t>
  </si>
  <si>
    <t>Nala Ali</t>
  </si>
  <si>
    <t>Arjun Chavez</t>
  </si>
  <si>
    <t>Nevaeh Harrison</t>
  </si>
  <si>
    <t>Gavin Wall</t>
  </si>
  <si>
    <t>Jayda Pena</t>
  </si>
  <si>
    <t>Marcus Hart</t>
  </si>
  <si>
    <t>Gemma Klein</t>
  </si>
  <si>
    <t>Marco Potts</t>
  </si>
  <si>
    <t>Ellison Huff</t>
  </si>
  <si>
    <t>Finnley Vaughn</t>
  </si>
  <si>
    <t>Reign Sutton</t>
  </si>
  <si>
    <t>Warren Hayes</t>
  </si>
  <si>
    <t>Iris Berger</t>
  </si>
  <si>
    <t>Byron Garcia</t>
  </si>
  <si>
    <t>Amelia Barrera</t>
  </si>
  <si>
    <t>Makai Baldwin</t>
  </si>
  <si>
    <t>Esmeralda Frost</t>
  </si>
  <si>
    <t>Dario Noble</t>
  </si>
  <si>
    <t>Hunter Vo</t>
  </si>
  <si>
    <t>Gordon Salas</t>
  </si>
  <si>
    <t>Amber Figueroa</t>
  </si>
  <si>
    <t>Spencer Gallagher</t>
  </si>
  <si>
    <t>Elliott McCullough</t>
  </si>
  <si>
    <t>Briar Whitehead</t>
  </si>
  <si>
    <t>Sylvie Lowe</t>
  </si>
  <si>
    <t>Julius Santiago</t>
  </si>
  <si>
    <t>Nyla Ball</t>
  </si>
  <si>
    <t>Shane Rich</t>
  </si>
  <si>
    <t>Sunny Woodward</t>
  </si>
  <si>
    <t>Jeremias Schultz</t>
  </si>
  <si>
    <t>Briella Parker</t>
  </si>
  <si>
    <t>Caleb Boyle</t>
  </si>
  <si>
    <t>Aliya Ballard</t>
  </si>
  <si>
    <t>Kenzo Odom</t>
  </si>
  <si>
    <t>Laylani Bernal</t>
  </si>
  <si>
    <t>Eithan Mann</t>
  </si>
  <si>
    <t>Paislee Rice</t>
  </si>
  <si>
    <t>Graham McCarty</t>
  </si>
  <si>
    <t>Halo Klein</t>
  </si>
  <si>
    <t>Marco Walter</t>
  </si>
  <si>
    <t>Penny Tran</t>
  </si>
  <si>
    <t>Braxton Mays</t>
  </si>
  <si>
    <t>Denisse Banks</t>
  </si>
  <si>
    <t>Martin Moyer</t>
  </si>
  <si>
    <t>Zola Pratt</t>
  </si>
  <si>
    <t>Rowen Beil</t>
  </si>
  <si>
    <t>Itzel Vincent</t>
  </si>
  <si>
    <t>Aarav White</t>
  </si>
  <si>
    <t>Layla Barker</t>
  </si>
  <si>
    <t>Kade Paul</t>
  </si>
  <si>
    <t>Daphne Shah</t>
  </si>
  <si>
    <t>Zain Holmes</t>
  </si>
  <si>
    <t>Bailey Perkins</t>
  </si>
  <si>
    <t>Kyrie Acosta</t>
  </si>
  <si>
    <t>Kaia Mann</t>
  </si>
  <si>
    <t>Nehemiah Allison</t>
  </si>
  <si>
    <t>Chelsea Moyer</t>
  </si>
  <si>
    <t>Ahmir Daugherty</t>
  </si>
  <si>
    <t>Magdalena Alexander</t>
  </si>
  <si>
    <t>Kingston Marquez</t>
  </si>
  <si>
    <t>Milani Arellano</t>
  </si>
  <si>
    <t>Kellan Vazquez</t>
  </si>
  <si>
    <t>Journee Jenkins</t>
  </si>
  <si>
    <t>Declan Franco</t>
  </si>
  <si>
    <t>Charleigh Padilla</t>
  </si>
  <si>
    <t>Jaden Ochoa</t>
  </si>
  <si>
    <t>Luciana Carroll</t>
  </si>
  <si>
    <t>Oscar Acosta</t>
  </si>
  <si>
    <t>Kaia Weeks</t>
  </si>
  <si>
    <t>Anders Spence</t>
  </si>
  <si>
    <t>Aislinn Gates</t>
  </si>
  <si>
    <t>Ermias Carrillo</t>
  </si>
  <si>
    <t>Kaylani Benson</t>
  </si>
  <si>
    <t>Desmond Kirby</t>
  </si>
  <si>
    <t>Skyla Gonzales</t>
  </si>
  <si>
    <t>Brayden Burns</t>
  </si>
  <si>
    <t>Emerson Blair</t>
  </si>
  <si>
    <t>Troy Gardner</t>
  </si>
  <si>
    <t>Jordyn Todd</t>
  </si>
  <si>
    <t>Baylor Enriquez</t>
  </si>
  <si>
    <t>Nellie Richmond</t>
  </si>
  <si>
    <t>Mordechai Faulkner</t>
  </si>
  <si>
    <t>Ansley Hendricks</t>
  </si>
  <si>
    <t>Dash Robles</t>
  </si>
  <si>
    <t>Felicity Meyer</t>
  </si>
  <si>
    <t>Tristan Gallagher</t>
  </si>
  <si>
    <t>Elliott Pitts</t>
  </si>
  <si>
    <t>Trey Jensen</t>
  </si>
  <si>
    <t>Jane McDonald</t>
  </si>
  <si>
    <t>Calvin Fowler</t>
  </si>
  <si>
    <t>Lennon Ware</t>
  </si>
  <si>
    <t>Tadeo Lamb</t>
  </si>
  <si>
    <t>Amaia Webster</t>
  </si>
  <si>
    <t>Shawn Erickson</t>
  </si>
  <si>
    <t>Sabrina Daniels</t>
  </si>
  <si>
    <t>Xander Livingston</t>
  </si>
  <si>
    <t>Milena Petersen</t>
  </si>
  <si>
    <t>Samson Noble</t>
  </si>
  <si>
    <t>Hunter Lindsey</t>
  </si>
  <si>
    <t>Jayson Robles</t>
  </si>
  <si>
    <t>Felicity Gill</t>
  </si>
  <si>
    <t>Matthias Pham</t>
  </si>
  <si>
    <t>Raelyn Aguirre</t>
  </si>
  <si>
    <t>Andy McLaughlin</t>
  </si>
  <si>
    <t>Stephanie Carson</t>
  </si>
  <si>
    <t>Ares Best</t>
  </si>
  <si>
    <t>Lexie Patterson</t>
  </si>
  <si>
    <t>Amir Morse</t>
  </si>
  <si>
    <t>Kairi Lloyd</t>
  </si>
  <si>
    <t>Zaire Montgomery</t>
  </si>
  <si>
    <t>Evangeline Horton</t>
  </si>
  <si>
    <t>Garrett Huff</t>
  </si>
  <si>
    <t>Karsyn Pearson</t>
  </si>
  <si>
    <t>Gunner Boyd</t>
  </si>
  <si>
    <t>Georgia Benitez</t>
  </si>
  <si>
    <t>Justice Tucker</t>
  </si>
  <si>
    <t>Esther Wise</t>
  </si>
  <si>
    <t>Frederick Rivers</t>
  </si>
  <si>
    <t>Kiana Giles</t>
  </si>
  <si>
    <t>Kole Campbell</t>
  </si>
  <si>
    <t>Addison Crosby</t>
  </si>
  <si>
    <t>Tristen Gross</t>
  </si>
  <si>
    <t>Angel Suarez</t>
  </si>
  <si>
    <t>Soren Whitaker</t>
  </si>
  <si>
    <t>Ivanna Stephenson</t>
  </si>
  <si>
    <t>Joe Ponce</t>
  </si>
  <si>
    <t>Aileen Vazquez</t>
  </si>
  <si>
    <t>Jesse Navarro</t>
  </si>
  <si>
    <t>Winter Frazier</t>
  </si>
  <si>
    <t>Callum Maxwell</t>
  </si>
  <si>
    <t>Kyla Villarreal</t>
  </si>
  <si>
    <t>Nikolai Wyatt</t>
  </si>
  <si>
    <t>Liberty Clay</t>
  </si>
  <si>
    <t>Yosef Sosa</t>
  </si>
  <si>
    <t>Cassandra Shaffer</t>
  </si>
  <si>
    <t>Dexter Trejo</t>
  </si>
  <si>
    <t>Rosalyn Huffman</t>
  </si>
  <si>
    <t>Chris Roth</t>
  </si>
  <si>
    <t>Elliot Higgins</t>
  </si>
  <si>
    <t>Sterling Levy</t>
  </si>
  <si>
    <t>Flora Green</t>
  </si>
  <si>
    <t>Anthony Clayton</t>
  </si>
  <si>
    <t>Saige Farley</t>
  </si>
  <si>
    <t>Graysen Parrish</t>
  </si>
  <si>
    <t>Tiana Mata</t>
  </si>
  <si>
    <t>Ray Reed</t>
  </si>
  <si>
    <t>Valentina Stout</t>
  </si>
  <si>
    <t>Callahan Williamson</t>
  </si>
  <si>
    <t>Job Title</t>
  </si>
  <si>
    <t>Hire Date</t>
  </si>
  <si>
    <t>Projects Completed</t>
  </si>
  <si>
    <t>Performance Score</t>
  </si>
  <si>
    <t>Monthly Salary</t>
  </si>
  <si>
    <t>Human Resources</t>
  </si>
  <si>
    <t>HR Specialist</t>
  </si>
  <si>
    <t>Recruiter</t>
  </si>
  <si>
    <t>Office Administrator</t>
  </si>
  <si>
    <t>Sales Executive</t>
  </si>
  <si>
    <t>Customer Support Representative</t>
  </si>
  <si>
    <t>Account Manager</t>
  </si>
  <si>
    <t>Accountant</t>
  </si>
  <si>
    <t>Financial Analyst</t>
  </si>
  <si>
    <t>Business Analyst</t>
  </si>
  <si>
    <t>Marketing Coordinator</t>
  </si>
  <si>
    <t>Content Writer</t>
  </si>
  <si>
    <t>Social Media Manager</t>
  </si>
  <si>
    <t>Product Manager</t>
  </si>
  <si>
    <t>Software Developer</t>
  </si>
  <si>
    <t>IT Support Technician</t>
  </si>
  <si>
    <t>Database Administrator</t>
  </si>
  <si>
    <t>Quality Assurance Tester</t>
  </si>
  <si>
    <t>Graphic Designer</t>
  </si>
  <si>
    <t>Grand Total</t>
  </si>
  <si>
    <t xml:space="preserve"> </t>
  </si>
  <si>
    <t>Attendance</t>
  </si>
  <si>
    <t>Hours Worked</t>
  </si>
  <si>
    <t>Employee Name</t>
  </si>
  <si>
    <t>Productivity Ratio</t>
  </si>
  <si>
    <t>Performance Category</t>
  </si>
  <si>
    <t>Excellent</t>
  </si>
  <si>
    <t>Good</t>
  </si>
  <si>
    <t>Needs Improvement</t>
  </si>
  <si>
    <t>Top 5 Employees</t>
  </si>
  <si>
    <t>Performance Index</t>
  </si>
  <si>
    <t>Performance Category Distribution</t>
  </si>
  <si>
    <t xml:space="preserve"> Performance By Department </t>
  </si>
  <si>
    <t>Salary By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</si>
</sst>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Inherit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20"/>
      <color theme="0"/>
      <name val="Aptos Narrow"/>
      <family val="2"/>
      <scheme val="minor"/>
    </font>
    <font>
      <b/>
      <sz val="18"/>
      <color theme="1" tint="0.3499862666707357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/>
      <top/>
      <bottom/>
      <diagonal/>
    </border>
    <border>
      <left/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1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/>
    <xf numFmtId="1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1" fillId="0" borderId="0" xfId="1" applyNumberFormat="1" applyFont="1" applyAlignment="1">
      <alignment horizontal="center" vertical="center" wrapText="1"/>
    </xf>
    <xf numFmtId="2" fontId="0" fillId="0" borderId="0" xfId="1" applyNumberFormat="1" applyFont="1" applyAlignment="1">
      <alignment horizontal="center" vertical="center" wrapText="1"/>
    </xf>
    <xf numFmtId="2" fontId="0" fillId="0" borderId="0" xfId="1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164" fontId="0" fillId="0" borderId="0" xfId="0" applyNumberFormat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2" fontId="7" fillId="2" borderId="2" xfId="0" applyNumberFormat="1" applyFont="1" applyFill="1" applyBorder="1" applyAlignment="1">
      <alignment horizontal="center" vertical="center" wrapText="1"/>
    </xf>
    <xf numFmtId="2" fontId="7" fillId="2" borderId="3" xfId="0" applyNumberFormat="1" applyFont="1" applyFill="1" applyBorder="1" applyAlignment="1">
      <alignment horizontal="center" vertical="center" wrapText="1"/>
    </xf>
    <xf numFmtId="2" fontId="7" fillId="2" borderId="4" xfId="0" applyNumberFormat="1" applyFont="1" applyFill="1" applyBorder="1" applyAlignment="1">
      <alignment horizontal="center" vertical="center" wrapText="1"/>
    </xf>
    <xf numFmtId="2" fontId="7" fillId="2" borderId="0" xfId="0" applyNumberFormat="1" applyFont="1" applyFill="1" applyAlignment="1">
      <alignment horizontal="center" vertical="center" wrapText="1"/>
    </xf>
    <xf numFmtId="2" fontId="7" fillId="2" borderId="5" xfId="0" applyNumberFormat="1" applyFont="1" applyFill="1" applyBorder="1" applyAlignment="1">
      <alignment horizontal="center" vertical="center" wrapText="1"/>
    </xf>
    <xf numFmtId="2" fontId="7" fillId="2" borderId="6" xfId="0" applyNumberFormat="1" applyFont="1" applyFill="1" applyBorder="1" applyAlignment="1">
      <alignment horizontal="center" vertical="center" wrapText="1"/>
    </xf>
    <xf numFmtId="2" fontId="7" fillId="2" borderId="7" xfId="0" applyNumberFormat="1" applyFont="1" applyFill="1" applyBorder="1" applyAlignment="1">
      <alignment horizontal="center" vertical="center" wrapText="1"/>
    </xf>
    <xf numFmtId="2" fontId="7" fillId="2" borderId="8" xfId="0" applyNumberFormat="1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center" vertical="center"/>
    </xf>
    <xf numFmtId="2" fontId="8" fillId="2" borderId="4" xfId="0" applyNumberFormat="1" applyFont="1" applyFill="1" applyBorder="1" applyAlignment="1">
      <alignment horizontal="center" vertical="center"/>
    </xf>
    <xf numFmtId="2" fontId="8" fillId="2" borderId="0" xfId="0" applyNumberFormat="1" applyFont="1" applyFill="1" applyAlignment="1">
      <alignment horizontal="center" vertical="center"/>
    </xf>
    <xf numFmtId="2" fontId="8" fillId="2" borderId="5" xfId="0" applyNumberFormat="1" applyFont="1" applyFill="1" applyBorder="1" applyAlignment="1">
      <alignment horizontal="center" vertical="center"/>
    </xf>
    <xf numFmtId="2" fontId="8" fillId="2" borderId="6" xfId="0" applyNumberFormat="1" applyFont="1" applyFill="1" applyBorder="1" applyAlignment="1">
      <alignment horizontal="center" vertical="center"/>
    </xf>
    <xf numFmtId="2" fontId="8" fillId="2" borderId="7" xfId="0" applyNumberFormat="1" applyFont="1" applyFill="1" applyBorder="1" applyAlignment="1">
      <alignment horizontal="center" vertical="center"/>
    </xf>
    <xf numFmtId="2" fontId="8" fillId="2" borderId="8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2" xfId="0" applyNumberFormat="1" applyFont="1" applyFill="1" applyBorder="1" applyAlignment="1">
      <alignment horizontal="center" vertical="center"/>
    </xf>
    <xf numFmtId="1" fontId="8" fillId="2" borderId="3" xfId="0" applyNumberFormat="1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8" fillId="2" borderId="5" xfId="0" applyNumberFormat="1" applyFont="1" applyFill="1" applyBorder="1" applyAlignment="1">
      <alignment horizontal="center" vertical="center"/>
    </xf>
    <xf numFmtId="1" fontId="8" fillId="2" borderId="6" xfId="0" applyNumberFormat="1" applyFont="1" applyFill="1" applyBorder="1" applyAlignment="1">
      <alignment horizontal="center" vertical="center"/>
    </xf>
    <xf numFmtId="1" fontId="8" fillId="2" borderId="7" xfId="0" applyNumberFormat="1" applyFont="1" applyFill="1" applyBorder="1" applyAlignment="1">
      <alignment horizontal="center" vertical="center"/>
    </xf>
    <xf numFmtId="1" fontId="8" fillId="2" borderId="8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FFC000"/>
      </font>
      <fill>
        <patternFill>
          <fgColor rgb="FFFFFF99"/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19" formatCode="m/d/yyyy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[Workforce Analytics and Performance InsightsDATA.xlsx]povit!PivotTable11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0F9E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povit!$B$3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0F9ED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povit!$A$4:$A$9</c:f>
              <c:strCache>
                <c:ptCount val="5"/>
                <c:pt idx="0">
                  <c:v>Finance</c:v>
                </c:pt>
                <c:pt idx="1">
                  <c:v>Human Resources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povit!$B$4:$B$9</c:f>
              <c:numCache>
                <c:formatCode>0.0</c:formatCode>
                <c:ptCount val="5"/>
                <c:pt idx="0">
                  <c:v>287.02535214351497</c:v>
                </c:pt>
                <c:pt idx="1">
                  <c:v>233.92417216779674</c:v>
                </c:pt>
                <c:pt idx="2">
                  <c:v>346.64796080380751</c:v>
                </c:pt>
                <c:pt idx="3">
                  <c:v>352.92400452389575</c:v>
                </c:pt>
                <c:pt idx="4">
                  <c:v>222.1268155012194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6-41BB-AB02-E4CBE620CC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492003616"/>
        <c:axId val="1492001696"/>
        <c:axId val="0"/>
      </c:bar3DChart>
      <c:catAx>
        <c:axId val="149200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001696"/>
        <c:crosses val="autoZero"/>
        <c:auto val="1"/>
        <c:lblAlgn val="ctr"/>
        <c:lblOffset val="100"/>
        <c:noMultiLvlLbl val="0"/>
      </c:catAx>
      <c:valAx>
        <c:axId val="1492001696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149200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ysClr val="window" lastClr="FFFFFF"/>
      </a:solidFill>
      <a:round/>
    </a:ln>
    <a:effectLst/>
  </c:spPr>
  <c:txPr>
    <a:bodyPr/>
    <a:lstStyle/>
    <a:p>
      <a:pPr>
        <a:defRPr>
          <a:solidFill>
            <a:schemeClr val="l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[Workforce Analytics and Performance InsightsDATA.xlsx]povit!PivotTable12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by Department </a:t>
            </a:r>
          </a:p>
        </c:rich>
      </c:tx>
      <c:layout>
        <c:manualLayout>
          <c:xMode val="edge"/>
          <c:yMode val="edge"/>
          <c:x val="0.23894473520032183"/>
          <c:y val="4.40986281443947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0F9E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4475619668307911"/>
          <c:y val="0.22879548874506417"/>
          <c:w val="0.5657237532808399"/>
          <c:h val="0.66319663167104115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povit!$B$13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0F9ED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povit!$A$14:$A$19</c:f>
              <c:strCache>
                <c:ptCount val="5"/>
                <c:pt idx="0">
                  <c:v>Finance</c:v>
                </c:pt>
                <c:pt idx="1">
                  <c:v>Human Resources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povit!$B$14:$B$19</c:f>
              <c:numCache>
                <c:formatCode>0</c:formatCode>
                <c:ptCount val="5"/>
                <c:pt idx="0">
                  <c:v>250000</c:v>
                </c:pt>
                <c:pt idx="1">
                  <c:v>197000</c:v>
                </c:pt>
                <c:pt idx="2">
                  <c:v>304000</c:v>
                </c:pt>
                <c:pt idx="3">
                  <c:v>311000</c:v>
                </c:pt>
                <c:pt idx="4">
                  <c:v>193000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1-4FCC-9E32-46DC6ABF66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68036992"/>
        <c:axId val="1368037952"/>
        <c:axId val="0"/>
      </c:bar3DChart>
      <c:catAx>
        <c:axId val="1368036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37952"/>
        <c:crosses val="autoZero"/>
        <c:auto val="1"/>
        <c:lblAlgn val="ctr"/>
        <c:lblOffset val="100"/>
        <c:noMultiLvlLbl val="0"/>
      </c:catAx>
      <c:valAx>
        <c:axId val="1368037952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36803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[Workforce Analytics and Performance InsightsDATA.xlsx]povit!PivotTable17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Employees</a:t>
            </a:r>
          </a:p>
        </c:rich>
      </c:tx>
      <c:layout>
        <c:manualLayout>
          <c:xMode val="edge"/>
          <c:yMode val="edge"/>
          <c:x val="0.31601533216418609"/>
          <c:y val="5.8497625345960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marker>
          <c:spPr>
            <a:solidFill>
              <a:schemeClr val="accent4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0F9E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povit!$E$13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0F9ED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povit!$D$14:$D$19</c:f>
              <c:strCache>
                <c:ptCount val="5"/>
                <c:pt idx="0">
                  <c:v>Layla Barker</c:v>
                </c:pt>
                <c:pt idx="1">
                  <c:v>Zara Horne</c:v>
                </c:pt>
                <c:pt idx="2">
                  <c:v>Athena Bender</c:v>
                </c:pt>
                <c:pt idx="3">
                  <c:v>Rosalyn Huffman</c:v>
                </c:pt>
                <c:pt idx="4">
                  <c:v>Rowen Beil</c:v>
                </c:pt>
              </c:strCache>
            </c:strRef>
          </c:cat>
          <c:val>
            <c:numRef>
              <c:f>povit!$E$14:$E$19</c:f>
              <c:numCache>
                <c:formatCode>0.00</c:formatCode>
                <c:ptCount val="5"/>
                <c:pt idx="0">
                  <c:v>8.705601132075472</c:v>
                </c:pt>
                <c:pt idx="1">
                  <c:v>8.7311547619047634</c:v>
                </c:pt>
                <c:pt idx="2">
                  <c:v>8.7857789320388342</c:v>
                </c:pt>
                <c:pt idx="3">
                  <c:v>8.8462450495049509</c:v>
                </c:pt>
                <c:pt idx="4">
                  <c:v>8.8760899999999996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B7F-4843-9FEF-3A0B9F4BF6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740674752"/>
        <c:axId val="1740675712"/>
        <c:axId val="0"/>
      </c:bar3DChart>
      <c:catAx>
        <c:axId val="174067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675712"/>
        <c:crosses val="autoZero"/>
        <c:auto val="1"/>
        <c:lblAlgn val="ctr"/>
        <c:lblOffset val="100"/>
        <c:noMultiLvlLbl val="0"/>
      </c:catAx>
      <c:valAx>
        <c:axId val="174067571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74067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[Workforce Analytics and Performance InsightsDATA.xlsx]povit!PivotTable16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100" baseline="0">
                <a:ln>
                  <a:solidFill>
                    <a:sysClr val="window" lastClr="FFFFFF"/>
                  </a:solidFill>
                </a:ln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0"/>
              <a:t>Performance Category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100" baseline="0">
              <a:ln>
                <a:solidFill>
                  <a:sysClr val="window" lastClr="FFFFFF"/>
                </a:solidFill>
              </a:ln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ysClr val="window" lastClr="FFFFFF"/>
                    </a:solidFill>
                  </a:ln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4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4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9.9635831479186657E-2"/>
          <c:y val="0.13884912366208646"/>
          <c:w val="0.52783910755663765"/>
          <c:h val="0.79881681833922114"/>
        </c:manualLayout>
      </c:layout>
      <c:doughnutChart>
        <c:varyColors val="1"/>
        <c:ser>
          <c:idx val="0"/>
          <c:order val="0"/>
          <c:tx>
            <c:strRef>
              <c:f>povit!$E$3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4A3-4D34-8E7A-F63418C178E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4A3-4D34-8E7A-F63418C178E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4A3-4D34-8E7A-F63418C178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ysClr val="window" lastClr="FFFFFF"/>
                      </a:solidFill>
                    </a:ln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povit!$D$4:$D$7</c:f>
              <c:strCache>
                <c:ptCount val="3"/>
                <c:pt idx="0">
                  <c:v>Excellent</c:v>
                </c:pt>
                <c:pt idx="1">
                  <c:v>Good</c:v>
                </c:pt>
                <c:pt idx="2">
                  <c:v>Needs Improvement</c:v>
                </c:pt>
              </c:strCache>
            </c:strRef>
          </c:cat>
          <c:val>
            <c:numRef>
              <c:f>povit!$E$4:$E$7</c:f>
              <c:numCache>
                <c:formatCode>General</c:formatCode>
                <c:ptCount val="3"/>
                <c:pt idx="0">
                  <c:v>41</c:v>
                </c:pt>
                <c:pt idx="1">
                  <c:v>105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A3-4D34-8E7A-F63418C178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071587926509191"/>
          <c:y val="0.40026986399427344"/>
          <c:w val="0.31261745406824154"/>
          <c:h val="0.329164996420901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ln>
                <a:solidFill>
                  <a:sysClr val="window" lastClr="FFFFFF"/>
                </a:solidFill>
              </a:ln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n>
            <a:solidFill>
              <a:sysClr val="window" lastClr="FFFFFF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4298</xdr:rowOff>
    </xdr:from>
    <xdr:to>
      <xdr:col>8</xdr:col>
      <xdr:colOff>60178</xdr:colOff>
      <xdr:row>29</xdr:row>
      <xdr:rowOff>18864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D12504E-DC23-4416-9207-A05C72938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11</xdr:row>
      <xdr:rowOff>2561</xdr:rowOff>
    </xdr:from>
    <xdr:to>
      <xdr:col>18</xdr:col>
      <xdr:colOff>14080</xdr:colOff>
      <xdr:row>29</xdr:row>
      <xdr:rowOff>13487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D1D5FF0-EAFC-4A3A-AD29-0F69B5541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14868</xdr:rowOff>
    </xdr:from>
    <xdr:to>
      <xdr:col>8</xdr:col>
      <xdr:colOff>60178</xdr:colOff>
      <xdr:row>48</xdr:row>
      <xdr:rowOff>34796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DC4D0F8-0417-4FA7-B355-40F41FDD4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5424</xdr:colOff>
      <xdr:row>29</xdr:row>
      <xdr:rowOff>181351</xdr:rowOff>
    </xdr:from>
    <xdr:to>
      <xdr:col>18</xdr:col>
      <xdr:colOff>18399</xdr:colOff>
      <xdr:row>48</xdr:row>
      <xdr:rowOff>13846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53225E4-9615-4DC9-9754-B3F409579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5392</xdr:colOff>
      <xdr:row>4</xdr:row>
      <xdr:rowOff>182809</xdr:rowOff>
    </xdr:from>
    <xdr:to>
      <xdr:col>17</xdr:col>
      <xdr:colOff>385268</xdr:colOff>
      <xdr:row>6</xdr:row>
      <xdr:rowOff>128557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0543171-E2D3-D70F-A0A2-B7A703DEC2F3}"/>
            </a:ext>
          </a:extLst>
        </xdr:cNvPr>
        <xdr:cNvSpPr txBox="1"/>
      </xdr:nvSpPr>
      <xdr:spPr>
        <a:xfrm>
          <a:off x="10444792" y="923038"/>
          <a:ext cx="2023619" cy="3267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0">
              <a:ln>
                <a:noFill/>
              </a:ln>
              <a:solidFill>
                <a:schemeClr val="tx1"/>
              </a:solidFill>
              <a:effectLst>
                <a:glow>
                  <a:schemeClr val="bg2">
                    <a:lumMod val="75000"/>
                  </a:schemeClr>
                </a:glow>
              </a:effectLst>
              <a:latin typeface="+mj-lt"/>
            </a:rPr>
            <a:t>Total</a:t>
          </a:r>
          <a:r>
            <a:rPr lang="en-US" sz="1800" b="0" baseline="0">
              <a:ln>
                <a:noFill/>
              </a:ln>
              <a:solidFill>
                <a:schemeClr val="tx1"/>
              </a:solidFill>
              <a:effectLst>
                <a:glow rad="127000">
                  <a:schemeClr val="bg2">
                    <a:lumMod val="75000"/>
                  </a:schemeClr>
                </a:glow>
              </a:effectLst>
              <a:latin typeface="+mj-lt"/>
            </a:rPr>
            <a:t> </a:t>
          </a:r>
          <a:r>
            <a:rPr lang="en-US" sz="1800" b="0" baseline="0">
              <a:ln>
                <a:noFill/>
              </a:ln>
              <a:solidFill>
                <a:schemeClr val="tx1"/>
              </a:solidFill>
              <a:effectLst>
                <a:glow>
                  <a:schemeClr val="bg2">
                    <a:lumMod val="75000"/>
                  </a:schemeClr>
                </a:glow>
              </a:effectLst>
              <a:latin typeface="+mj-lt"/>
            </a:rPr>
            <a:t>Employees</a:t>
          </a:r>
          <a:endParaRPr lang="en-US" sz="1800" b="0">
            <a:ln>
              <a:noFill/>
            </a:ln>
            <a:solidFill>
              <a:schemeClr val="tx1"/>
            </a:solidFill>
            <a:effectLst>
              <a:glow>
                <a:schemeClr val="bg2">
                  <a:lumMod val="75000"/>
                </a:schemeClr>
              </a:glow>
            </a:effectLst>
            <a:latin typeface="+mj-lt"/>
          </a:endParaRPr>
        </a:p>
      </xdr:txBody>
    </xdr:sp>
    <xdr:clientData/>
  </xdr:twoCellAnchor>
  <xdr:twoCellAnchor>
    <xdr:from>
      <xdr:col>0</xdr:col>
      <xdr:colOff>366517</xdr:colOff>
      <xdr:row>4</xdr:row>
      <xdr:rowOff>186055</xdr:rowOff>
    </xdr:from>
    <xdr:to>
      <xdr:col>3</xdr:col>
      <xdr:colOff>315717</xdr:colOff>
      <xdr:row>6</xdr:row>
      <xdr:rowOff>152400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7E24DC1-B6E3-4202-ADC4-6EB0A681FE96}"/>
            </a:ext>
          </a:extLst>
        </xdr:cNvPr>
        <xdr:cNvSpPr txBox="1"/>
      </xdr:nvSpPr>
      <xdr:spPr>
        <a:xfrm>
          <a:off x="366517" y="926284"/>
          <a:ext cx="2115457" cy="3473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0">
              <a:solidFill>
                <a:schemeClr val="tx1"/>
              </a:solidFill>
              <a:effectLst>
                <a:glow>
                  <a:schemeClr val="bg2">
                    <a:lumMod val="50000"/>
                    <a:alpha val="40000"/>
                  </a:schemeClr>
                </a:glow>
              </a:effectLst>
              <a:latin typeface="+mj-lt"/>
            </a:rPr>
            <a:t>Performance Score</a:t>
          </a:r>
          <a:endParaRPr lang="en-US" sz="1800" b="0">
            <a:ln>
              <a:noFill/>
            </a:ln>
            <a:solidFill>
              <a:schemeClr val="tx1"/>
            </a:solidFill>
            <a:effectLst>
              <a:glow>
                <a:schemeClr val="bg2">
                  <a:lumMod val="50000"/>
                  <a:alpha val="40000"/>
                </a:schemeClr>
              </a:glow>
            </a:effectLst>
            <a:latin typeface="+mj-lt"/>
          </a:endParaRPr>
        </a:p>
      </xdr:txBody>
    </xdr:sp>
    <xdr:clientData/>
  </xdr:twoCellAnchor>
  <xdr:twoCellAnchor>
    <xdr:from>
      <xdr:col>5</xdr:col>
      <xdr:colOff>231137</xdr:colOff>
      <xdr:row>5</xdr:row>
      <xdr:rowOff>9765</xdr:rowOff>
    </xdr:from>
    <xdr:to>
      <xdr:col>7</xdr:col>
      <xdr:colOff>54045</xdr:colOff>
      <xdr:row>6</xdr:row>
      <xdr:rowOff>160955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5A79FB5-6D60-46DA-9BC7-EA76AB0B41F3}"/>
            </a:ext>
          </a:extLst>
        </xdr:cNvPr>
        <xdr:cNvSpPr txBox="1"/>
      </xdr:nvSpPr>
      <xdr:spPr>
        <a:xfrm>
          <a:off x="3616594" y="945936"/>
          <a:ext cx="1542851" cy="3362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0">
              <a:solidFill>
                <a:schemeClr val="tx1"/>
              </a:solidFill>
              <a:effectLst>
                <a:glow>
                  <a:schemeClr val="bg2">
                    <a:lumMod val="75000"/>
                  </a:schemeClr>
                </a:glow>
              </a:effectLst>
              <a:latin typeface="+mj-lt"/>
            </a:rPr>
            <a:t>Productivity</a:t>
          </a:r>
          <a:endParaRPr lang="en-US" sz="1100" b="0">
            <a:ln>
              <a:noFill/>
            </a:ln>
            <a:solidFill>
              <a:schemeClr val="tx1"/>
            </a:solidFill>
            <a:effectLst>
              <a:glow>
                <a:schemeClr val="bg2">
                  <a:lumMod val="75000"/>
                </a:schemeClr>
              </a:glow>
            </a:effectLst>
            <a:latin typeface="+mj-lt"/>
          </a:endParaRPr>
        </a:p>
      </xdr:txBody>
    </xdr:sp>
    <xdr:clientData/>
  </xdr:twoCellAnchor>
  <xdr:twoCellAnchor>
    <xdr:from>
      <xdr:col>10</xdr:col>
      <xdr:colOff>645764</xdr:colOff>
      <xdr:row>4</xdr:row>
      <xdr:rowOff>194732</xdr:rowOff>
    </xdr:from>
    <xdr:to>
      <xdr:col>13</xdr:col>
      <xdr:colOff>454874</xdr:colOff>
      <xdr:row>6</xdr:row>
      <xdr:rowOff>122913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1195BA3-0ACD-4ECC-B67A-A0122DAFC2F9}"/>
            </a:ext>
          </a:extLst>
        </xdr:cNvPr>
        <xdr:cNvSpPr txBox="1"/>
      </xdr:nvSpPr>
      <xdr:spPr>
        <a:xfrm>
          <a:off x="7579964" y="934961"/>
          <a:ext cx="2095110" cy="3091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0">
              <a:solidFill>
                <a:schemeClr val="tx1"/>
              </a:solidFill>
              <a:effectLst>
                <a:glow>
                  <a:schemeClr val="bg2">
                    <a:lumMod val="75000"/>
                  </a:schemeClr>
                </a:glow>
              </a:effectLst>
              <a:latin typeface="+mj-lt"/>
            </a:rPr>
            <a:t>Attendance</a:t>
          </a:r>
          <a:r>
            <a:rPr lang="en-US" sz="1400" b="0">
              <a:solidFill>
                <a:schemeClr val="bg1"/>
              </a:solidFill>
              <a:effectLst>
                <a:glow>
                  <a:schemeClr val="bg2">
                    <a:lumMod val="75000"/>
                  </a:schemeClr>
                </a:glow>
              </a:effectLst>
              <a:latin typeface="+mj-lt"/>
            </a:rPr>
            <a:t> </a:t>
          </a:r>
          <a:r>
            <a:rPr lang="en-US" sz="1800" b="0">
              <a:solidFill>
                <a:schemeClr val="tx1"/>
              </a:solidFill>
              <a:effectLst>
                <a:glow>
                  <a:schemeClr val="bg2">
                    <a:lumMod val="75000"/>
                  </a:schemeClr>
                </a:glow>
              </a:effectLst>
              <a:latin typeface="+mj-lt"/>
            </a:rPr>
            <a:t>Rate</a:t>
          </a:r>
          <a:endParaRPr lang="en-US" sz="1400" b="0">
            <a:ln>
              <a:noFill/>
            </a:ln>
            <a:solidFill>
              <a:schemeClr val="tx1"/>
            </a:solidFill>
            <a:effectLst>
              <a:glow>
                <a:schemeClr val="bg2">
                  <a:lumMod val="75000"/>
                </a:schemeClr>
              </a:glow>
            </a:effectLst>
            <a:latin typeface="+mj-lt"/>
          </a:endParaRPr>
        </a:p>
      </xdr:txBody>
    </xdr:sp>
    <xdr:clientData/>
  </xdr:twoCellAnchor>
  <xdr:twoCellAnchor>
    <xdr:from>
      <xdr:col>16</xdr:col>
      <xdr:colOff>355600</xdr:colOff>
      <xdr:row>4</xdr:row>
      <xdr:rowOff>76200</xdr:rowOff>
    </xdr:from>
    <xdr:to>
      <xdr:col>18</xdr:col>
      <xdr:colOff>313267</xdr:colOff>
      <xdr:row>5</xdr:row>
      <xdr:rowOff>110068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187731B-79ED-44C1-B644-24095895F900}"/>
            </a:ext>
          </a:extLst>
        </xdr:cNvPr>
        <xdr:cNvSpPr txBox="1"/>
      </xdr:nvSpPr>
      <xdr:spPr>
        <a:xfrm>
          <a:off x="10109200" y="821267"/>
          <a:ext cx="1176867" cy="228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ghad Zayyat" refreshedDate="46119.206786689814" createdVersion="8" refreshedVersion="8" minRefreshableVersion="3" recordCount="210" xr:uid="{16CAB83E-4D9A-4283-817E-8352F297EEA4}">
  <cacheSource type="worksheet">
    <worksheetSource ref="A1:K211" sheet="Data"/>
  </cacheSource>
  <cacheFields count="11">
    <cacheField name="Employee Name" numFmtId="49">
      <sharedItems/>
    </cacheField>
    <cacheField name="Department" numFmtId="49">
      <sharedItems count="5">
        <s v="Human Resources"/>
        <s v="Sales"/>
        <s v="Finance"/>
        <s v="Marketing"/>
        <s v="IT"/>
      </sharedItems>
    </cacheField>
    <cacheField name="Job Title" numFmtId="49">
      <sharedItems/>
    </cacheField>
    <cacheField name="Hire Date" numFmtId="0">
      <sharedItems containsSemiMixedTypes="0" containsNonDate="0" containsDate="1" containsString="0" minDate="2022-03-09T00:00:00" maxDate="5304-01-15T00:00:00"/>
    </cacheField>
    <cacheField name="Hours Worked" numFmtId="2">
      <sharedItems containsSemiMixedTypes="0" containsString="0" containsNumber="1" containsInteger="1" minValue="100" maxValue="160"/>
    </cacheField>
    <cacheField name="Attendance" numFmtId="2">
      <sharedItems containsSemiMixedTypes="0" containsString="0" containsNumber="1" minValue="6.25" maxValue="10"/>
    </cacheField>
    <cacheField name="Projects Completed" numFmtId="2">
      <sharedItems containsSemiMixedTypes="0" containsString="0" containsNumber="1" containsInteger="1" minValue="5" maxValue="10"/>
    </cacheField>
    <cacheField name="Productivity Ratio" numFmtId="2">
      <sharedItems containsSemiMixedTypes="0" containsString="0" containsNumber="1" minValue="3.125" maxValue="10"/>
    </cacheField>
    <cacheField name="Performance Score" numFmtId="164">
      <sharedItems containsSemiMixedTypes="0" containsString="0" containsNumber="1" minValue="5.3301724137931039" maxValue="8.875"/>
    </cacheField>
    <cacheField name="Performance Category" numFmtId="0">
      <sharedItems count="3">
        <s v="Good"/>
        <s v="Needs Improvement"/>
        <s v="Excellent"/>
      </sharedItems>
    </cacheField>
    <cacheField name="Monthly Salary" numFmtId="2">
      <sharedItems containsSemiMixedTypes="0" containsString="0" containsNumber="1" containsInteger="1" minValue="4000" maxValue="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ghad Zayyat" refreshedDate="46119.206787152776" createdVersion="8" refreshedVersion="8" minRefreshableVersion="3" recordCount="210" xr:uid="{3CBAB422-86E1-4471-9798-23458AF30B79}">
  <cacheSource type="worksheet">
    <worksheetSource ref="A1:K211" sheet="Data"/>
  </cacheSource>
  <cacheFields count="12">
    <cacheField name="Employee Name" numFmtId="49">
      <sharedItems count="210">
        <s v="Nicole Mason"/>
        <s v="Brandon Rowe"/>
        <s v="Matilda Lambert"/>
        <s v="Mario Torres"/>
        <s v="Violet Pollard"/>
        <s v="Jad York"/>
        <s v="Milan Park"/>
        <s v="Daxton McIntyre"/>
        <s v="Rebekah Boyle"/>
        <s v="Robin Page"/>
        <s v="Cataleya Curtis"/>
        <s v="Muhammad Reynolds"/>
        <s v="Isabelle Kennedy"/>
        <s v="Maxwell Butler"/>
        <s v="Athena Bender"/>
        <s v="Zavier Murray"/>
        <s v="Faith Golden"/>
        <s v="Amias Archer"/>
        <s v="Kadence Vasquez"/>
        <s v="Rowan Carter"/>
        <s v="Lucy Thompson"/>
        <s v="Theodore Cannon"/>
        <s v="Noa Acevedo"/>
        <s v="Dakari Stevens"/>
        <s v="Katherine Sheppard"/>
        <s v="Trent Maddox"/>
        <s v="Zainab Norton"/>
        <s v="Callen Valenzuela"/>
        <s v="Henley Shaw"/>
        <s v="Elliot Pham"/>
        <s v="Raelyn Patrick"/>
        <s v="Derrick Hayden"/>
        <s v="Avayah Wall"/>
        <s v="Issac McConnell"/>
        <s v="Denise Bush"/>
        <s v="Tyson Vu"/>
        <s v="Kimora Chapman"/>
        <s v="Knox Cherry"/>
        <s v="Nyomi Nelson"/>
        <s v="Dylan Faulkner"/>
        <s v="Ansley Simmons"/>
        <s v="Harrison Alfaro"/>
        <s v="Yasmin Cole"/>
        <s v="Nathaniel Leonard"/>
        <s v="Demi Morrison"/>
        <s v="Maximus Harper"/>
        <s v="Ana Anthony"/>
        <s v="Shiloh Carroll"/>
        <s v="Zara Horne"/>
        <s v="Zev Douglas"/>
        <s v="Aniyah Murray"/>
        <s v="Ashton Hendrix"/>
        <s v="Zhuri Steele"/>
        <s v="Elian Rose"/>
        <s v="Magnolia Hicks"/>
        <s v="Maddox Hensley"/>
        <s v="Malaya Parrish"/>
        <s v="Karsyn Hampton"/>
        <s v="Leona Spence"/>
        <s v="Cillian Davis"/>
        <s v="Mia Schneider"/>
        <s v="Raymond Pitts"/>
        <s v="Nala Ali"/>
        <s v="Arjun Chavez"/>
        <s v="Nevaeh Harrison"/>
        <s v="Gavin Wall"/>
        <s v="Jayda Pena"/>
        <s v="Marcus Hart"/>
        <s v="Gemma Klein"/>
        <s v="Marco Potts"/>
        <s v="Ellison Huff"/>
        <s v="Finnley Vaughn"/>
        <s v="Reign Sutton"/>
        <s v="Warren Hayes"/>
        <s v="Iris Berger"/>
        <s v="Byron Garcia"/>
        <s v="Amelia Barrera"/>
        <s v="Makai Baldwin"/>
        <s v="Esmeralda Frost"/>
        <s v="Dario Noble"/>
        <s v="Hunter Vo"/>
        <s v="Gordon Salas"/>
        <s v="Amber Figueroa"/>
        <s v="Spencer Gallagher"/>
        <s v="Elliott McCullough"/>
        <s v="Briar Whitehead"/>
        <s v="Sylvie Lowe"/>
        <s v="Julius Santiago"/>
        <s v="Nyla Ball"/>
        <s v="Shane Rich"/>
        <s v="Sunny Woodward"/>
        <s v="Jeremias Schultz"/>
        <s v="Briella Parker"/>
        <s v="Caleb Boyle"/>
        <s v="Aliya Ballard"/>
        <s v="Kenzo Odom"/>
        <s v="Laylani Bernal"/>
        <s v="Eithan Mann"/>
        <s v="Paislee Rice"/>
        <s v="Graham McCarty"/>
        <s v="Halo Klein"/>
        <s v="Marco Walter"/>
        <s v="Penny Tran"/>
        <s v="Braxton Mays"/>
        <s v="Denisse Banks"/>
        <s v="Martin Moyer"/>
        <s v="Zola Pratt"/>
        <s v="Rowen Beil"/>
        <s v="Itzel Vincent"/>
        <s v="Aarav White"/>
        <s v="Layla Barker"/>
        <s v="Kade Paul"/>
        <s v="Daphne Shah"/>
        <s v="Zain Holmes"/>
        <s v="Bailey Perkins"/>
        <s v="Kyrie Acosta"/>
        <s v="Kaia Mann"/>
        <s v="Nehemiah Allison"/>
        <s v="Chelsea Moyer"/>
        <s v="Ahmir Daugherty"/>
        <s v="Magdalena Alexander"/>
        <s v="Kingston Marquez"/>
        <s v="Milani Arellano"/>
        <s v="Kellan Vazquez"/>
        <s v="Journee Jenkins"/>
        <s v="Declan Franco"/>
        <s v="Charleigh Padilla"/>
        <s v="Jaden Ochoa"/>
        <s v="Luciana Carroll"/>
        <s v="Oscar Acosta"/>
        <s v="Kaia Weeks"/>
        <s v="Anders Spence"/>
        <s v="Aislinn Gates"/>
        <s v="Ermias Carrillo"/>
        <s v="Kaylani Benson"/>
        <s v="Desmond Kirby"/>
        <s v="Skyla Gonzales"/>
        <s v="Brayden Burns"/>
        <s v="Emerson Blair"/>
        <s v="Troy Gardner"/>
        <s v="Jordyn Todd"/>
        <s v="Baylor Enriquez"/>
        <s v="Nellie Richmond"/>
        <s v="Mordechai Faulkner"/>
        <s v="Ansley Hendricks"/>
        <s v="Dash Robles"/>
        <s v="Felicity Meyer"/>
        <s v="Tristan Gallagher"/>
        <s v="Elliott Pitts"/>
        <s v="Trey Jensen"/>
        <s v="Jane McDonald"/>
        <s v="Calvin Fowler"/>
        <s v="Lennon Ware"/>
        <s v="Tadeo Lamb"/>
        <s v="Amaia Webster"/>
        <s v="Shawn Erickson"/>
        <s v="Sabrina Daniels"/>
        <s v="Xander Livingston"/>
        <s v="Milena Petersen"/>
        <s v="Samson Noble"/>
        <s v="Hunter Lindsey"/>
        <s v="Jayson Robles"/>
        <s v="Felicity Gill"/>
        <s v="Matthias Pham"/>
        <s v="Raelyn Aguirre"/>
        <s v="Andy McLaughlin"/>
        <s v="Stephanie Carson"/>
        <s v="Ares Best"/>
        <s v="Lexie Patterson"/>
        <s v="Amir Morse"/>
        <s v="Kairi Lloyd"/>
        <s v="Zaire Montgomery"/>
        <s v="Evangeline Horton"/>
        <s v="Garrett Huff"/>
        <s v="Karsyn Pearson"/>
        <s v="Gunner Boyd"/>
        <s v="Georgia Benitez"/>
        <s v="Justice Tucker"/>
        <s v="Esther Wise"/>
        <s v="Frederick Rivers"/>
        <s v="Kiana Giles"/>
        <s v="Kole Campbell"/>
        <s v="Addison Crosby"/>
        <s v="Tristen Gross"/>
        <s v="Angel Suarez"/>
        <s v="Soren Whitaker"/>
        <s v="Ivanna Stephenson"/>
        <s v="Joe Ponce"/>
        <s v="Aileen Vazquez"/>
        <s v="Jesse Navarro"/>
        <s v="Winter Frazier"/>
        <s v="Callum Maxwell"/>
        <s v="Kyla Villarreal"/>
        <s v="Nikolai Wyatt"/>
        <s v="Liberty Clay"/>
        <s v="Yosef Sosa"/>
        <s v="Cassandra Shaffer"/>
        <s v="Dexter Trejo"/>
        <s v="Rosalyn Huffman"/>
        <s v="Chris Roth"/>
        <s v="Elliot Higgins"/>
        <s v="Sterling Levy"/>
        <s v="Flora Green"/>
        <s v="Anthony Clayton"/>
        <s v="Saige Farley"/>
        <s v="Graysen Parrish"/>
        <s v="Tiana Mata"/>
        <s v="Ray Reed"/>
        <s v="Valentina Stout"/>
        <s v="Callahan Williamson"/>
      </sharedItems>
    </cacheField>
    <cacheField name="Department" numFmtId="49">
      <sharedItems/>
    </cacheField>
    <cacheField name="Job Title" numFmtId="49">
      <sharedItems/>
    </cacheField>
    <cacheField name="Hire Date" numFmtId="0">
      <sharedItems containsSemiMixedTypes="0" containsNonDate="0" containsDate="1" containsString="0" minDate="2022-03-09T00:00:00" maxDate="5304-01-15T00:00:00"/>
    </cacheField>
    <cacheField name="Hours Worked" numFmtId="2">
      <sharedItems containsSemiMixedTypes="0" containsString="0" containsNumber="1" containsInteger="1" minValue="100" maxValue="160"/>
    </cacheField>
    <cacheField name="Attendance" numFmtId="2">
      <sharedItems containsSemiMixedTypes="0" containsString="0" containsNumber="1" minValue="6.25" maxValue="10"/>
    </cacheField>
    <cacheField name="Projects Completed" numFmtId="2">
      <sharedItems containsSemiMixedTypes="0" containsString="0" containsNumber="1" containsInteger="1" minValue="5" maxValue="10"/>
    </cacheField>
    <cacheField name="Productivity Ratio" numFmtId="2">
      <sharedItems containsSemiMixedTypes="0" containsString="0" containsNumber="1" minValue="3.125" maxValue="10"/>
    </cacheField>
    <cacheField name="Performance Score" numFmtId="164">
      <sharedItems containsSemiMixedTypes="0" containsString="0" containsNumber="1" minValue="5.3301724137931039" maxValue="8.875"/>
    </cacheField>
    <cacheField name="Performance Category" numFmtId="0">
      <sharedItems/>
    </cacheField>
    <cacheField name="Monthly Salary" numFmtId="2">
      <sharedItems containsSemiMixedTypes="0" containsString="0" containsNumber="1" containsInteger="1" minValue="4000" maxValue="9000"/>
    </cacheField>
    <cacheField name="Ranking Score" numFmtId="2">
      <sharedItems containsSemiMixedTypes="0" containsString="0" containsNumber="1" minValue="5.330802413793104" maxValue="8.87608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Nicole Mason"/>
    <x v="0"/>
    <s v="HR Specialist"/>
    <d v="2023-04-26T00:00:00"/>
    <n v="116"/>
    <n v="7.25"/>
    <n v="7"/>
    <n v="6.0344827586206895"/>
    <n v="6.5922413793103445"/>
    <x v="0"/>
    <n v="6000"/>
  </r>
  <r>
    <s v="Brandon Rowe"/>
    <x v="0"/>
    <s v="Recruiter"/>
    <d v="2023-05-02T00:00:00"/>
    <n v="134"/>
    <n v="8.375"/>
    <n v="9"/>
    <n v="6.7164179104477615"/>
    <n v="7.6707089552238807"/>
    <x v="0"/>
    <n v="6000"/>
  </r>
  <r>
    <s v="Matilda Lambert"/>
    <x v="0"/>
    <s v="Office Administrator"/>
    <d v="2023-05-04T00:00:00"/>
    <n v="129"/>
    <n v="8.0625"/>
    <n v="5"/>
    <n v="3.8759689922480618"/>
    <n v="5.3567344961240302"/>
    <x v="1"/>
    <n v="4000"/>
  </r>
  <r>
    <s v="Mario Torres"/>
    <x v="0"/>
    <s v="HR Specialist"/>
    <d v="2023-05-18T00:00:00"/>
    <n v="140"/>
    <n v="8.75"/>
    <n v="10"/>
    <n v="7.1428571428571423"/>
    <n v="8.1964285714285712"/>
    <x v="2"/>
    <n v="9000"/>
  </r>
  <r>
    <s v="Violet Pollard"/>
    <x v="0"/>
    <s v="Recruiter"/>
    <d v="2023-08-04T00:00:00"/>
    <n v="143"/>
    <n v="8.9375"/>
    <n v="5"/>
    <n v="3.4965034965034967"/>
    <n v="5.4295017482517487"/>
    <x v="1"/>
    <n v="4000"/>
  </r>
  <r>
    <s v="Jad York"/>
    <x v="0"/>
    <s v="Office Administrator"/>
    <d v="2023-10-10T00:00:00"/>
    <n v="129"/>
    <n v="8.0625"/>
    <n v="9"/>
    <n v="6.9767441860465116"/>
    <n v="7.7071220930232558"/>
    <x v="0"/>
    <n v="6000"/>
  </r>
  <r>
    <s v="Milan Park"/>
    <x v="0"/>
    <s v="HR Specialist"/>
    <d v="2023-10-24T00:00:00"/>
    <n v="148"/>
    <n v="9.25"/>
    <n v="7"/>
    <n v="4.7297297297297298"/>
    <n v="6.5398648648648656"/>
    <x v="0"/>
    <n v="6000"/>
  </r>
  <r>
    <s v="Daxton McIntyre"/>
    <x v="0"/>
    <s v="Recruiter"/>
    <d v="2023-11-07T00:00:00"/>
    <n v="104"/>
    <n v="6.5"/>
    <n v="8"/>
    <n v="7.6923076923076925"/>
    <n v="7.3961538461538456"/>
    <x v="0"/>
    <n v="6000"/>
  </r>
  <r>
    <s v="Rebekah Boyle"/>
    <x v="0"/>
    <s v="Office Administrator"/>
    <d v="2023-12-29T00:00:00"/>
    <n v="130"/>
    <n v="8.125"/>
    <n v="9"/>
    <n v="6.9230769230769234"/>
    <n v="7.6990384615384615"/>
    <x v="0"/>
    <n v="6000"/>
  </r>
  <r>
    <s v="Robin Page"/>
    <x v="0"/>
    <s v="HR Specialist"/>
    <d v="2024-02-27T00:00:00"/>
    <n v="124"/>
    <n v="7.75"/>
    <n v="6"/>
    <n v="4.838709677419355"/>
    <n v="5.9443548387096774"/>
    <x v="1"/>
    <n v="4000"/>
  </r>
  <r>
    <s v="Cataleya Curtis"/>
    <x v="1"/>
    <s v="Sales Executive"/>
    <d v="2024-05-21T00:00:00"/>
    <n v="125"/>
    <n v="7.8125"/>
    <n v="8"/>
    <n v="6.4"/>
    <n v="7.1437500000000007"/>
    <x v="0"/>
    <n v="6000"/>
  </r>
  <r>
    <s v="Muhammad Reynolds"/>
    <x v="1"/>
    <s v="Customer Support Representative"/>
    <d v="2024-08-14T00:00:00"/>
    <n v="141"/>
    <n v="8.8125"/>
    <n v="7"/>
    <n v="4.9645390070921991"/>
    <n v="6.5260195035460997"/>
    <x v="0"/>
    <n v="6000"/>
  </r>
  <r>
    <s v="Isabelle Kennedy"/>
    <x v="1"/>
    <s v="Account Manager"/>
    <d v="2024-08-26T00:00:00"/>
    <n v="110"/>
    <n v="6.875"/>
    <n v="6"/>
    <n v="5.4545454545454541"/>
    <n v="5.9897727272727268"/>
    <x v="1"/>
    <n v="4000"/>
  </r>
  <r>
    <s v="Maxwell Butler"/>
    <x v="1"/>
    <s v="Sales Executive"/>
    <d v="2024-09-16T00:00:00"/>
    <n v="112"/>
    <n v="7"/>
    <n v="9"/>
    <n v="8.0357142857142865"/>
    <n v="7.9178571428571436"/>
    <x v="0"/>
    <n v="6000"/>
  </r>
  <r>
    <s v="Athena Bender"/>
    <x v="1"/>
    <s v="Customer Support Representative"/>
    <d v="2024-10-04T00:00:00"/>
    <n v="103"/>
    <n v="6.4375"/>
    <n v="10"/>
    <n v="9.7087378640776691"/>
    <n v="8.7856189320388349"/>
    <x v="2"/>
    <n v="9000"/>
  </r>
  <r>
    <s v="Zavier Murray"/>
    <x v="1"/>
    <s v="Account Manager"/>
    <d v="2024-11-11T00:00:00"/>
    <n v="105"/>
    <n v="6.5625"/>
    <n v="6"/>
    <n v="5.7142857142857144"/>
    <n v="6.0258928571428578"/>
    <x v="0"/>
    <n v="6000"/>
  </r>
  <r>
    <s v="Faith Golden"/>
    <x v="1"/>
    <s v="Sales Executive"/>
    <d v="2025-02-27T00:00:00"/>
    <n v="119"/>
    <n v="7.4375"/>
    <n v="5"/>
    <n v="4.2016806722689077"/>
    <n v="5.3320903361344536"/>
    <x v="1"/>
    <n v="4000"/>
  </r>
  <r>
    <s v="Amias Archer"/>
    <x v="1"/>
    <s v="Customer Support Representative"/>
    <d v="2025-03-26T00:00:00"/>
    <n v="131"/>
    <n v="8.1875"/>
    <n v="6"/>
    <n v="4.5801526717557248"/>
    <n v="5.9463263358778624"/>
    <x v="1"/>
    <n v="4000"/>
  </r>
  <r>
    <s v="Kadence Vasquez"/>
    <x v="1"/>
    <s v="Account Manager"/>
    <d v="2025-07-30T00:00:00"/>
    <n v="129"/>
    <n v="8.0625"/>
    <n v="9"/>
    <n v="6.9767441860465116"/>
    <n v="7.7071220930232558"/>
    <x v="0"/>
    <n v="6000"/>
  </r>
  <r>
    <s v="Rowan Carter"/>
    <x v="1"/>
    <s v="Sales Executive"/>
    <d v="2025-12-03T00:00:00"/>
    <n v="151"/>
    <n v="9.4375"/>
    <n v="7"/>
    <n v="4.6357615894039732"/>
    <n v="6.5491307947019868"/>
    <x v="0"/>
    <n v="6000"/>
  </r>
  <r>
    <s v="Lucy Thompson"/>
    <x v="2"/>
    <s v="Accountant"/>
    <d v="2025-12-17T00:00:00"/>
    <n v="142"/>
    <n v="8.875"/>
    <n v="7"/>
    <n v="4.929577464788732"/>
    <n v="6.527288732394366"/>
    <x v="0"/>
    <n v="6000"/>
  </r>
  <r>
    <s v="Theodore Cannon"/>
    <x v="2"/>
    <s v="Financial Analyst"/>
    <d v="2026-01-09T00:00:00"/>
    <n v="112"/>
    <n v="7"/>
    <n v="6"/>
    <n v="5.3571428571428568"/>
    <n v="5.9785714285714286"/>
    <x v="1"/>
    <n v="4000"/>
  </r>
  <r>
    <s v="Noa Acevedo"/>
    <x v="2"/>
    <s v="Business Analyst"/>
    <d v="2026-01-13T00:00:00"/>
    <n v="137"/>
    <n v="8.5625"/>
    <n v="7"/>
    <n v="5.1094890510948909"/>
    <n v="6.5234945255474459"/>
    <x v="0"/>
    <n v="6000"/>
  </r>
  <r>
    <s v="Dakari Stevens"/>
    <x v="2"/>
    <s v="Accountant"/>
    <d v="2026-02-05T00:00:00"/>
    <n v="150"/>
    <n v="9.375"/>
    <n v="6"/>
    <n v="4"/>
    <n v="6.0125000000000002"/>
    <x v="0"/>
    <n v="6000"/>
  </r>
  <r>
    <s v="Katherine Sheppard"/>
    <x v="2"/>
    <s v="Financial Analyst"/>
    <d v="2026-02-06T00:00:00"/>
    <n v="159"/>
    <n v="9.9375"/>
    <n v="6"/>
    <n v="3.7735849056603774"/>
    <n v="6.0680424528301886"/>
    <x v="0"/>
    <n v="6000"/>
  </r>
  <r>
    <s v="Trent Maddox"/>
    <x v="2"/>
    <s v="Business Analyst"/>
    <d v="2024-03-12T00:00:00"/>
    <n v="108"/>
    <n v="6.75"/>
    <n v="6"/>
    <n v="5.5555555555555554"/>
    <n v="6.0027777777777773"/>
    <x v="0"/>
    <n v="6000"/>
  </r>
  <r>
    <s v="Zainab Norton"/>
    <x v="2"/>
    <s v="Accountant"/>
    <d v="2024-04-11T00:00:00"/>
    <n v="152"/>
    <n v="9.5"/>
    <n v="10"/>
    <n v="6.5789473684210522"/>
    <n v="8.1394736842105253"/>
    <x v="2"/>
    <n v="9000"/>
  </r>
  <r>
    <s v="Callen Valenzuela"/>
    <x v="2"/>
    <s v="Financial Analyst"/>
    <d v="2024-04-22T00:00:00"/>
    <n v="155"/>
    <n v="9.6875"/>
    <n v="6"/>
    <n v="3.870967741935484"/>
    <n v="6.0417338709677422"/>
    <x v="0"/>
    <n v="6000"/>
  </r>
  <r>
    <s v="Henley Shaw"/>
    <x v="2"/>
    <s v="Business Analyst"/>
    <d v="2024-05-02T00:00:00"/>
    <n v="126"/>
    <n v="7.875"/>
    <n v="6"/>
    <n v="4.7619047619047619"/>
    <n v="5.9434523809523805"/>
    <x v="1"/>
    <n v="4000"/>
  </r>
  <r>
    <s v="Elliot Pham"/>
    <x v="2"/>
    <s v="Accountant"/>
    <d v="2024-09-24T00:00:00"/>
    <n v="105"/>
    <n v="6.5625"/>
    <n v="5"/>
    <n v="4.7619047619047619"/>
    <n v="5.3497023809523814"/>
    <x v="1"/>
    <n v="4000"/>
  </r>
  <r>
    <s v="Raelyn Patrick"/>
    <x v="3"/>
    <s v="Marketing Coordinator"/>
    <d v="2024-10-16T00:00:00"/>
    <n v="146"/>
    <n v="9.125"/>
    <n v="10"/>
    <n v="6.8493150684931505"/>
    <n v="8.1621575342465746"/>
    <x v="2"/>
    <n v="9000"/>
  </r>
  <r>
    <s v="Derrick Hayden"/>
    <x v="3"/>
    <s v="Content Writer"/>
    <d v="2024-12-12T00:00:00"/>
    <n v="155"/>
    <n v="9.6875"/>
    <n v="8"/>
    <n v="5.161290322580645"/>
    <n v="7.0868951612903217"/>
    <x v="0"/>
    <n v="6000"/>
  </r>
  <r>
    <s v="Avayah Wall"/>
    <x v="3"/>
    <s v="Social Media Manager"/>
    <d v="2025-01-01T00:00:00"/>
    <n v="116"/>
    <n v="7.25"/>
    <n v="6"/>
    <n v="5.1724137931034484"/>
    <n v="5.9612068965517242"/>
    <x v="1"/>
    <n v="4000"/>
  </r>
  <r>
    <s v="Issac McConnell"/>
    <x v="3"/>
    <s v="Product Manager"/>
    <d v="2025-01-15T00:00:00"/>
    <n v="160"/>
    <n v="10"/>
    <n v="9"/>
    <n v="5.625"/>
    <n v="7.6124999999999998"/>
    <x v="0"/>
    <n v="6000"/>
  </r>
  <r>
    <s v="Denise Bush"/>
    <x v="3"/>
    <s v="Marketing Coordinator"/>
    <d v="2025-03-05T00:00:00"/>
    <n v="136"/>
    <n v="8.5"/>
    <n v="8"/>
    <n v="5.8823529411764701"/>
    <n v="7.0911764705882341"/>
    <x v="0"/>
    <n v="6000"/>
  </r>
  <r>
    <s v="Tyson Vu"/>
    <x v="3"/>
    <s v="Content Writer"/>
    <d v="2025-03-06T00:00:00"/>
    <n v="122"/>
    <n v="7.625"/>
    <n v="7"/>
    <n v="5.7377049180327866"/>
    <n v="6.5563524590163933"/>
    <x v="0"/>
    <n v="6000"/>
  </r>
  <r>
    <s v="Kimora Chapman"/>
    <x v="3"/>
    <s v="Social Media Manager"/>
    <d v="2025-03-11T00:00:00"/>
    <n v="126"/>
    <n v="7.875"/>
    <n v="8"/>
    <n v="6.3492063492063489"/>
    <n v="7.1371031746031743"/>
    <x v="0"/>
    <n v="6000"/>
  </r>
  <r>
    <s v="Knox Cherry"/>
    <x v="3"/>
    <s v="Product Manager"/>
    <d v="2025-03-27T00:00:00"/>
    <n v="102"/>
    <n v="6.375"/>
    <n v="9"/>
    <n v="8.8235294117647065"/>
    <n v="8.1242647058823536"/>
    <x v="2"/>
    <n v="9000"/>
  </r>
  <r>
    <s v="Nyomi Nelson"/>
    <x v="3"/>
    <s v="Marketing Coordinator"/>
    <d v="2025-06-02T00:00:00"/>
    <n v="156"/>
    <n v="9.75"/>
    <n v="5"/>
    <n v="3.2051282051282048"/>
    <n v="5.527564102564102"/>
    <x v="1"/>
    <n v="4000"/>
  </r>
  <r>
    <s v="Dylan Faulkner"/>
    <x v="3"/>
    <s v="Content Writer"/>
    <d v="2025-06-11T00:00:00"/>
    <n v="126"/>
    <n v="7.875"/>
    <n v="6"/>
    <n v="4.7619047619047619"/>
    <n v="5.9434523809523805"/>
    <x v="1"/>
    <n v="4000"/>
  </r>
  <r>
    <s v="Ansley Simmons"/>
    <x v="4"/>
    <s v="Software Developer"/>
    <d v="2025-07-14T00:00:00"/>
    <n v="113"/>
    <n v="7.0625"/>
    <n v="5"/>
    <n v="4.4247787610619467"/>
    <n v="5.3311393805309732"/>
    <x v="1"/>
    <n v="4000"/>
  </r>
  <r>
    <s v="Harrison Alfaro"/>
    <x v="4"/>
    <s v="IT Support Technician"/>
    <d v="2025-08-14T00:00:00"/>
    <n v="112"/>
    <n v="7"/>
    <n v="6"/>
    <n v="5.3571428571428568"/>
    <n v="5.9785714285714286"/>
    <x v="1"/>
    <n v="4000"/>
  </r>
  <r>
    <s v="Yasmin Cole"/>
    <x v="4"/>
    <s v="Database Administrator"/>
    <d v="2025-08-26T00:00:00"/>
    <n v="100"/>
    <n v="6.25"/>
    <n v="7"/>
    <n v="7.0000000000000009"/>
    <n v="6.7750000000000004"/>
    <x v="0"/>
    <n v="6000"/>
  </r>
  <r>
    <s v="Nathaniel Leonard"/>
    <x v="4"/>
    <s v="Quality Assurance Tester"/>
    <d v="2025-11-26T00:00:00"/>
    <n v="122"/>
    <n v="7.625"/>
    <n v="9"/>
    <n v="7.3770491803278686"/>
    <n v="7.7760245901639342"/>
    <x v="0"/>
    <n v="6000"/>
  </r>
  <r>
    <s v="Demi Morrison"/>
    <x v="4"/>
    <s v="Graphic Designer"/>
    <d v="2025-12-04T00:00:00"/>
    <n v="142"/>
    <n v="8.875"/>
    <n v="8"/>
    <n v="5.6338028169014089"/>
    <n v="7.0794014084507051"/>
    <x v="0"/>
    <n v="6000"/>
  </r>
  <r>
    <s v="Maximus Harper"/>
    <x v="4"/>
    <s v="Software Developer"/>
    <d v="2026-01-15T00:00:00"/>
    <n v="152"/>
    <n v="9.5"/>
    <n v="6"/>
    <n v="3.9473684210526314"/>
    <n v="6.0236842105263158"/>
    <x v="0"/>
    <n v="6000"/>
  </r>
  <r>
    <s v="Ana Anthony"/>
    <x v="4"/>
    <s v="IT Support Technician"/>
    <d v="2026-02-23T00:00:00"/>
    <n v="119"/>
    <n v="7.4375"/>
    <n v="10"/>
    <n v="8.4033613445378155"/>
    <n v="8.4329306722689079"/>
    <x v="2"/>
    <n v="9000"/>
  </r>
  <r>
    <s v="Shiloh Carroll"/>
    <x v="4"/>
    <s v="Database Administrator"/>
    <d v="2026-03-10T00:00:00"/>
    <n v="158"/>
    <n v="9.875"/>
    <n v="7"/>
    <n v="4.4303797468354427"/>
    <n v="6.5776898734177216"/>
    <x v="0"/>
    <n v="6000"/>
  </r>
  <r>
    <s v="Zara Horne"/>
    <x v="4"/>
    <s v="Quality Assurance Tester"/>
    <d v="2026-03-20T00:00:00"/>
    <n v="105"/>
    <n v="6.5625"/>
    <n v="10"/>
    <n v="9.5238095238095237"/>
    <n v="8.7306547619047628"/>
    <x v="2"/>
    <n v="9000"/>
  </r>
  <r>
    <s v="Zev Douglas"/>
    <x v="4"/>
    <s v="Graphic Designer"/>
    <d v="2026-03-30T00:00:00"/>
    <n v="136"/>
    <n v="8.5"/>
    <n v="5"/>
    <n v="3.6764705882352944"/>
    <n v="5.3882352941176475"/>
    <x v="1"/>
    <n v="4000"/>
  </r>
  <r>
    <s v="Aniyah Murray"/>
    <x v="0"/>
    <s v="HR Specialist"/>
    <d v="2022-03-09T00:00:00"/>
    <n v="109"/>
    <n v="6.8125"/>
    <n v="9"/>
    <n v="8.2568807339449553"/>
    <n v="7.9721903669724776"/>
    <x v="0"/>
    <n v="6000"/>
  </r>
  <r>
    <s v="Ashton Hendrix"/>
    <x v="0"/>
    <s v="Recruiter"/>
    <d v="2022-03-14T00:00:00"/>
    <n v="153"/>
    <n v="9.5625"/>
    <n v="5"/>
    <n v="3.2679738562091507"/>
    <n v="5.502736928104575"/>
    <x v="1"/>
    <n v="4000"/>
  </r>
  <r>
    <s v="Zhuri Steele"/>
    <x v="0"/>
    <s v="Office Administrator"/>
    <d v="2022-04-11T00:00:00"/>
    <n v="113"/>
    <n v="7.0625"/>
    <n v="6"/>
    <n v="5.3097345132743365"/>
    <n v="5.9736172566371684"/>
    <x v="1"/>
    <n v="4000"/>
  </r>
  <r>
    <s v="Elian Rose"/>
    <x v="0"/>
    <s v="HR Specialist"/>
    <d v="2022-04-13T00:00:00"/>
    <n v="140"/>
    <n v="8.75"/>
    <n v="9"/>
    <n v="6.4285714285714279"/>
    <n v="7.6392857142857133"/>
    <x v="0"/>
    <n v="6000"/>
  </r>
  <r>
    <s v="Magnolia Hicks"/>
    <x v="0"/>
    <s v="Recruiter"/>
    <d v="2022-04-26T00:00:00"/>
    <n v="136"/>
    <n v="8.5"/>
    <n v="9"/>
    <n v="6.6176470588235299"/>
    <n v="7.658823529411765"/>
    <x v="0"/>
    <n v="6000"/>
  </r>
  <r>
    <s v="Maddox Hensley"/>
    <x v="0"/>
    <s v="Office Administrator"/>
    <d v="2022-04-28T00:00:00"/>
    <n v="146"/>
    <n v="9.125"/>
    <n v="8"/>
    <n v="5.4794520547945202"/>
    <n v="7.0772260273972591"/>
    <x v="0"/>
    <n v="6000"/>
  </r>
  <r>
    <s v="Malaya Parrish"/>
    <x v="0"/>
    <s v="HR Specialist"/>
    <d v="2022-05-02T00:00:00"/>
    <n v="118"/>
    <n v="7.375"/>
    <n v="9"/>
    <n v="7.6271186440677967"/>
    <n v="7.8260593220338981"/>
    <x v="0"/>
    <n v="6000"/>
  </r>
  <r>
    <s v="Karsyn Hampton"/>
    <x v="0"/>
    <s v="Recruiter"/>
    <d v="2022-05-09T00:00:00"/>
    <n v="111"/>
    <n v="6.9375"/>
    <n v="5"/>
    <n v="4.5045045045045047"/>
    <n v="5.3335022522522522"/>
    <x v="1"/>
    <n v="4000"/>
  </r>
  <r>
    <s v="Leona Spence"/>
    <x v="0"/>
    <s v="Office Administrator"/>
    <d v="2022-05-30T00:00:00"/>
    <n v="124"/>
    <n v="7.75"/>
    <n v="10"/>
    <n v="8.064516129032258"/>
    <n v="8.3572580645161292"/>
    <x v="2"/>
    <n v="9000"/>
  </r>
  <r>
    <s v="Cillian Davis"/>
    <x v="0"/>
    <s v="HR Specialist"/>
    <d v="2022-06-23T00:00:00"/>
    <n v="132"/>
    <n v="8.25"/>
    <n v="8"/>
    <n v="6.0606060606060606"/>
    <n v="7.1053030303030305"/>
    <x v="0"/>
    <n v="6000"/>
  </r>
  <r>
    <s v="Mia Schneider"/>
    <x v="1"/>
    <s v="Sales Executive"/>
    <d v="2022-07-20T00:00:00"/>
    <n v="117"/>
    <n v="7.3125"/>
    <n v="5"/>
    <n v="4.2735042735042734"/>
    <n v="5.3305021367521368"/>
    <x v="1"/>
    <n v="4000"/>
  </r>
  <r>
    <s v="Raymond Pitts"/>
    <x v="1"/>
    <s v="Customer Support Representative"/>
    <d v="2022-08-15T00:00:00"/>
    <n v="116"/>
    <n v="7.25"/>
    <n v="5"/>
    <n v="4.3103448275862073"/>
    <n v="5.3301724137931039"/>
    <x v="1"/>
    <n v="4000"/>
  </r>
  <r>
    <s v="Nala Ali"/>
    <x v="1"/>
    <s v="Account Manager"/>
    <d v="2022-08-17T00:00:00"/>
    <n v="111"/>
    <n v="6.9375"/>
    <n v="8"/>
    <n v="7.2072072072072073"/>
    <n v="7.2848536036036027"/>
    <x v="0"/>
    <n v="6000"/>
  </r>
  <r>
    <s v="Arjun Chavez"/>
    <x v="1"/>
    <s v="Sales Executive"/>
    <d v="2022-09-08T00:00:00"/>
    <n v="114"/>
    <n v="7.125"/>
    <n v="6"/>
    <n v="5.2631578947368416"/>
    <n v="5.9690789473684207"/>
    <x v="1"/>
    <n v="4000"/>
  </r>
  <r>
    <s v="Nevaeh Harrison"/>
    <x v="1"/>
    <s v="Customer Support Representative"/>
    <d v="2022-09-14T00:00:00"/>
    <n v="108"/>
    <n v="6.75"/>
    <n v="8"/>
    <n v="7.4074074074074066"/>
    <n v="7.3287037037037024"/>
    <x v="0"/>
    <n v="6000"/>
  </r>
  <r>
    <s v="Gavin Wall"/>
    <x v="1"/>
    <s v="Account Manager"/>
    <d v="2022-09-20T00:00:00"/>
    <n v="102"/>
    <n v="6.375"/>
    <n v="6"/>
    <n v="5.8823529411764701"/>
    <n v="6.0536764705882353"/>
    <x v="0"/>
    <n v="6000"/>
  </r>
  <r>
    <s v="Jayda Pena"/>
    <x v="1"/>
    <s v="Sales Executive"/>
    <d v="2022-10-07T00:00:00"/>
    <n v="115"/>
    <n v="7.1875"/>
    <n v="10"/>
    <n v="8.695652173913043"/>
    <n v="8.5040760869565215"/>
    <x v="2"/>
    <n v="9000"/>
  </r>
  <r>
    <s v="Marcus Hart"/>
    <x v="1"/>
    <s v="Customer Support Representative"/>
    <d v="2022-10-14T00:00:00"/>
    <n v="119"/>
    <n v="7.4375"/>
    <n v="6"/>
    <n v="5.0420168067226889"/>
    <n v="5.9522584033613439"/>
    <x v="1"/>
    <n v="4000"/>
  </r>
  <r>
    <s v="Gemma Klein"/>
    <x v="1"/>
    <s v="Account Manager"/>
    <d v="2022-10-19T00:00:00"/>
    <n v="108"/>
    <n v="6.75"/>
    <n v="10"/>
    <n v="9.2592592592592595"/>
    <n v="8.6546296296296301"/>
    <x v="2"/>
    <n v="9000"/>
  </r>
  <r>
    <s v="Marco Potts"/>
    <x v="1"/>
    <s v="Sales Executive"/>
    <d v="2022-10-21T00:00:00"/>
    <n v="144"/>
    <n v="9"/>
    <n v="10"/>
    <n v="6.9444444444444446"/>
    <n v="8.1722222222222225"/>
    <x v="2"/>
    <n v="9000"/>
  </r>
  <r>
    <s v="Ellison Huff"/>
    <x v="2"/>
    <s v="Accountant"/>
    <d v="2022-10-28T00:00:00"/>
    <n v="118"/>
    <n v="7.375"/>
    <n v="7"/>
    <n v="5.9322033898305087"/>
    <n v="6.578601694915255"/>
    <x v="0"/>
    <n v="6000"/>
  </r>
  <r>
    <s v="Finnley Vaughn"/>
    <x v="2"/>
    <s v="Financial Analyst"/>
    <d v="2023-01-10T00:00:00"/>
    <n v="127"/>
    <n v="7.9375"/>
    <n v="6"/>
    <n v="4.7244094488188972"/>
    <n v="5.9434547244094489"/>
    <x v="1"/>
    <n v="4000"/>
  </r>
  <r>
    <s v="Reign Sutton"/>
    <x v="2"/>
    <s v="Business Analyst"/>
    <d v="2023-01-31T00:00:00"/>
    <n v="139"/>
    <n v="8.6875"/>
    <n v="7"/>
    <n v="5.0359712230215825"/>
    <n v="6.5242356115107913"/>
    <x v="0"/>
    <n v="6000"/>
  </r>
  <r>
    <s v="Warren Hayes"/>
    <x v="2"/>
    <s v="Accountant"/>
    <d v="2023-03-14T00:00:00"/>
    <n v="103"/>
    <n v="6.4375"/>
    <n v="5"/>
    <n v="4.8543689320388346"/>
    <n v="5.3584344660194176"/>
    <x v="1"/>
    <n v="4000"/>
  </r>
  <r>
    <s v="Iris Berger"/>
    <x v="2"/>
    <s v="Financial Analyst"/>
    <d v="2023-03-22T00:00:00"/>
    <n v="117"/>
    <n v="7.3125"/>
    <n v="8"/>
    <n v="6.8376068376068382"/>
    <n v="7.2125534188034184"/>
    <x v="0"/>
    <n v="6000"/>
  </r>
  <r>
    <s v="Byron Garcia"/>
    <x v="2"/>
    <s v="Business Analyst"/>
    <d v="2024-03-06T00:00:00"/>
    <n v="130"/>
    <n v="8.125"/>
    <n v="5"/>
    <n v="3.8461538461538463"/>
    <n v="5.3605769230769234"/>
    <x v="1"/>
    <n v="4000"/>
  </r>
  <r>
    <s v="Amelia Barrera"/>
    <x v="2"/>
    <s v="Accountant"/>
    <d v="2024-03-13T00:00:00"/>
    <n v="126"/>
    <n v="7.875"/>
    <n v="5"/>
    <n v="3.9682539682539679"/>
    <n v="5.346626984126984"/>
    <x v="1"/>
    <n v="4000"/>
  </r>
  <r>
    <s v="Makai Baldwin"/>
    <x v="2"/>
    <s v="Financial Analyst"/>
    <d v="2024-03-18T00:00:00"/>
    <n v="105"/>
    <n v="6.5625"/>
    <n v="7"/>
    <n v="6.666666666666667"/>
    <n v="6.7020833333333343"/>
    <x v="0"/>
    <n v="6000"/>
  </r>
  <r>
    <s v="Esmeralda Frost"/>
    <x v="2"/>
    <s v="Business Analyst"/>
    <d v="2024-03-28T00:00:00"/>
    <n v="121"/>
    <n v="7.5625"/>
    <n v="9"/>
    <n v="7.4380165289256199"/>
    <n v="7.7877582644628101"/>
    <x v="0"/>
    <n v="6000"/>
  </r>
  <r>
    <s v="Dario Noble"/>
    <x v="2"/>
    <s v="Accountant"/>
    <d v="2024-04-19T00:00:00"/>
    <n v="125"/>
    <n v="7.8125"/>
    <n v="9"/>
    <n v="7.1999999999999993"/>
    <n v="7.7437499999999995"/>
    <x v="0"/>
    <n v="6000"/>
  </r>
  <r>
    <s v="Hunter Vo"/>
    <x v="3"/>
    <s v="Marketing Coordinator"/>
    <d v="2024-04-22T00:00:00"/>
    <n v="106"/>
    <n v="6.625"/>
    <n v="9"/>
    <n v="8.4905660377358494"/>
    <n v="8.0327830188679243"/>
    <x v="2"/>
    <n v="9000"/>
  </r>
  <r>
    <s v="Gordon Salas"/>
    <x v="3"/>
    <s v="Content Writer"/>
    <d v="5304-01-14T00:00:00"/>
    <n v="124"/>
    <n v="7.75"/>
    <n v="9"/>
    <n v="7.2580645161290329"/>
    <n v="7.754032258064516"/>
    <x v="0"/>
    <n v="6000"/>
  </r>
  <r>
    <s v="Amber Figueroa"/>
    <x v="3"/>
    <s v="Social Media Manager"/>
    <d v="2024-05-31T00:00:00"/>
    <n v="138"/>
    <n v="8.625"/>
    <n v="7"/>
    <n v="5.0724637681159424"/>
    <n v="6.5237318840579714"/>
    <x v="0"/>
    <n v="6000"/>
  </r>
  <r>
    <s v="Spencer Gallagher"/>
    <x v="3"/>
    <s v="Product Manager"/>
    <d v="2024-07-08T00:00:00"/>
    <n v="157"/>
    <n v="9.8125"/>
    <n v="10"/>
    <n v="6.369426751592357"/>
    <n v="8.1284633757961782"/>
    <x v="2"/>
    <n v="9000"/>
  </r>
  <r>
    <s v="Elliott McCullough"/>
    <x v="3"/>
    <s v="Marketing Coordinator"/>
    <d v="2024-07-12T00:00:00"/>
    <n v="105"/>
    <n v="6.5625"/>
    <n v="9"/>
    <n v="8.5714285714285712"/>
    <n v="8.0544642857142854"/>
    <x v="2"/>
    <n v="9000"/>
  </r>
  <r>
    <s v="Briar Whitehead"/>
    <x v="3"/>
    <s v="Content Writer"/>
    <d v="2024-07-30T00:00:00"/>
    <n v="144"/>
    <n v="9"/>
    <n v="6"/>
    <n v="4.1666666666666661"/>
    <n v="5.9833333333333334"/>
    <x v="1"/>
    <n v="4000"/>
  </r>
  <r>
    <s v="Sylvie Lowe"/>
    <x v="3"/>
    <s v="Social Media Manager"/>
    <d v="2024-09-06T00:00:00"/>
    <n v="106"/>
    <n v="6.625"/>
    <n v="7"/>
    <n v="6.6037735849056602"/>
    <n v="6.6893867924528303"/>
    <x v="0"/>
    <n v="6000"/>
  </r>
  <r>
    <s v="Julius Santiago"/>
    <x v="3"/>
    <s v="Product Manager"/>
    <d v="2024-10-10T00:00:00"/>
    <n v="114"/>
    <n v="7.125"/>
    <n v="5"/>
    <n v="4.3859649122807012"/>
    <n v="5.3304824561403503"/>
    <x v="1"/>
    <n v="4000"/>
  </r>
  <r>
    <s v="Nyla Ball"/>
    <x v="3"/>
    <s v="Marketing Coordinator"/>
    <d v="2024-10-18T00:00:00"/>
    <n v="135"/>
    <n v="8.4375"/>
    <n v="7"/>
    <n v="5.1851851851851851"/>
    <n v="6.5238425925925929"/>
    <x v="0"/>
    <n v="6000"/>
  </r>
  <r>
    <s v="Shane Rich"/>
    <x v="3"/>
    <s v="Content Writer"/>
    <d v="2024-10-28T00:00:00"/>
    <n v="144"/>
    <n v="9"/>
    <n v="9"/>
    <n v="6.25"/>
    <n v="7.6249999999999991"/>
    <x v="0"/>
    <n v="6000"/>
  </r>
  <r>
    <s v="Sunny Woodward"/>
    <x v="4"/>
    <s v="Software Developer"/>
    <d v="2024-12-03T00:00:00"/>
    <n v="102"/>
    <n v="6.375"/>
    <n v="8"/>
    <n v="7.8431372549019605"/>
    <n v="7.43406862745098"/>
    <x v="0"/>
    <n v="6000"/>
  </r>
  <r>
    <s v="Jeremias Schultz"/>
    <x v="4"/>
    <s v="IT Support Technician"/>
    <d v="2025-01-07T00:00:00"/>
    <n v="121"/>
    <n v="7.5625"/>
    <n v="5"/>
    <n v="4.1322314049586781"/>
    <n v="5.3348657024793393"/>
    <x v="1"/>
    <n v="4000"/>
  </r>
  <r>
    <s v="Briella Parker"/>
    <x v="4"/>
    <s v="Database Administrator"/>
    <d v="2025-01-29T00:00:00"/>
    <n v="120"/>
    <n v="7.5"/>
    <n v="10"/>
    <n v="8.3333333333333321"/>
    <n v="8.4166666666666661"/>
    <x v="2"/>
    <n v="9000"/>
  </r>
  <r>
    <s v="Caleb Boyle"/>
    <x v="4"/>
    <s v="Quality Assurance Tester"/>
    <d v="2025-02-04T00:00:00"/>
    <n v="153"/>
    <n v="9.5625"/>
    <n v="5"/>
    <n v="3.2679738562091507"/>
    <n v="5.502736928104575"/>
    <x v="1"/>
    <n v="4000"/>
  </r>
  <r>
    <s v="Aliya Ballard"/>
    <x v="4"/>
    <s v="Graphic Designer"/>
    <d v="2025-02-10T00:00:00"/>
    <n v="125"/>
    <n v="7.8125"/>
    <n v="8"/>
    <n v="6.4"/>
    <n v="7.1437500000000007"/>
    <x v="0"/>
    <n v="6000"/>
  </r>
  <r>
    <s v="Kenzo Odom"/>
    <x v="4"/>
    <s v="Software Developer"/>
    <d v="2025-02-19T00:00:00"/>
    <n v="114"/>
    <n v="7.125"/>
    <n v="8"/>
    <n v="7.0175438596491224"/>
    <n v="7.2462719298245606"/>
    <x v="0"/>
    <n v="6000"/>
  </r>
  <r>
    <s v="Laylani Bernal"/>
    <x v="4"/>
    <s v="IT Support Technician"/>
    <d v="2025-03-18T00:00:00"/>
    <n v="137"/>
    <n v="8.5625"/>
    <n v="8"/>
    <n v="5.8394160583941606"/>
    <n v="7.0884580291970796"/>
    <x v="0"/>
    <n v="6000"/>
  </r>
  <r>
    <s v="Eithan Mann"/>
    <x v="4"/>
    <s v="Database Administrator"/>
    <d v="2025-03-20T00:00:00"/>
    <n v="146"/>
    <n v="9.125"/>
    <n v="5"/>
    <n v="3.4246575342465753"/>
    <n v="5.4498287671232877"/>
    <x v="1"/>
    <n v="4000"/>
  </r>
  <r>
    <s v="Paislee Rice"/>
    <x v="4"/>
    <s v="Quality Assurance Tester"/>
    <d v="2025-03-27T00:00:00"/>
    <n v="108"/>
    <n v="6.75"/>
    <n v="9"/>
    <n v="8.3333333333333321"/>
    <n v="7.9916666666666663"/>
    <x v="0"/>
    <n v="6000"/>
  </r>
  <r>
    <s v="Graham McCarty"/>
    <x v="4"/>
    <s v="Graphic Designer"/>
    <d v="2025-03-31T00:00:00"/>
    <n v="124"/>
    <n v="7.75"/>
    <n v="10"/>
    <n v="8.064516129032258"/>
    <n v="8.3572580645161292"/>
    <x v="2"/>
    <n v="9000"/>
  </r>
  <r>
    <s v="Halo Klein"/>
    <x v="2"/>
    <s v="Financial Analyst"/>
    <d v="2023-04-26T00:00:00"/>
    <n v="155"/>
    <n v="9.6875"/>
    <n v="8"/>
    <n v="5.161290322580645"/>
    <n v="7.0868951612903217"/>
    <x v="0"/>
    <n v="6000"/>
  </r>
  <r>
    <s v="Marco Walter"/>
    <x v="2"/>
    <s v="Business Analyst"/>
    <d v="2023-05-02T00:00:00"/>
    <n v="130"/>
    <n v="8.125"/>
    <n v="9"/>
    <n v="6.9230769230769234"/>
    <n v="7.6990384615384615"/>
    <x v="0"/>
    <n v="6000"/>
  </r>
  <r>
    <s v="Penny Tran"/>
    <x v="2"/>
    <s v="Accountant"/>
    <d v="2023-05-04T00:00:00"/>
    <n v="119"/>
    <n v="7.4375"/>
    <n v="10"/>
    <n v="8.4033613445378155"/>
    <n v="8.4329306722689079"/>
    <x v="2"/>
    <n v="9000"/>
  </r>
  <r>
    <s v="Braxton Mays"/>
    <x v="3"/>
    <s v="Marketing Coordinator"/>
    <d v="2023-05-18T00:00:00"/>
    <n v="106"/>
    <n v="6.625"/>
    <n v="7"/>
    <n v="6.6037735849056602"/>
    <n v="6.6893867924528303"/>
    <x v="0"/>
    <n v="6000"/>
  </r>
  <r>
    <s v="Denisse Banks"/>
    <x v="3"/>
    <s v="Content Writer"/>
    <d v="2023-08-04T00:00:00"/>
    <n v="110"/>
    <n v="6.875"/>
    <n v="10"/>
    <n v="9.0909090909090917"/>
    <n v="8.6079545454545467"/>
    <x v="2"/>
    <n v="9000"/>
  </r>
  <r>
    <s v="Martin Moyer"/>
    <x v="3"/>
    <s v="Social Media Manager"/>
    <d v="2023-10-10T00:00:00"/>
    <n v="142"/>
    <n v="8.875"/>
    <n v="6"/>
    <n v="4.225352112676056"/>
    <n v="5.9751760563380278"/>
    <x v="1"/>
    <n v="4000"/>
  </r>
  <r>
    <s v="Zola Pratt"/>
    <x v="3"/>
    <s v="Product Manager"/>
    <d v="2023-10-24T00:00:00"/>
    <n v="153"/>
    <n v="9.5625"/>
    <n v="9"/>
    <n v="5.8823529411764701"/>
    <n v="7.6099264705882348"/>
    <x v="0"/>
    <n v="6000"/>
  </r>
  <r>
    <s v="Rowen Beil"/>
    <x v="3"/>
    <s v="Marketing Coordinator"/>
    <d v="2023-11-07T00:00:00"/>
    <n v="100"/>
    <n v="6.25"/>
    <n v="10"/>
    <n v="10"/>
    <n v="8.875"/>
    <x v="2"/>
    <n v="9000"/>
  </r>
  <r>
    <s v="Itzel Vincent"/>
    <x v="3"/>
    <s v="Content Writer"/>
    <d v="2023-12-29T00:00:00"/>
    <n v="121"/>
    <n v="7.5625"/>
    <n v="5"/>
    <n v="4.1322314049586781"/>
    <n v="5.3348657024793393"/>
    <x v="1"/>
    <n v="4000"/>
  </r>
  <r>
    <s v="Aarav White"/>
    <x v="3"/>
    <s v="Social Media Manager"/>
    <d v="2024-02-27T00:00:00"/>
    <n v="114"/>
    <n v="7.125"/>
    <n v="6"/>
    <n v="5.2631578947368416"/>
    <n v="5.9690789473684207"/>
    <x v="1"/>
    <n v="4000"/>
  </r>
  <r>
    <s v="Layla Barker"/>
    <x v="3"/>
    <s v="Product Manager"/>
    <d v="2024-05-21T00:00:00"/>
    <n v="106"/>
    <n v="6.625"/>
    <n v="10"/>
    <n v="9.433962264150944"/>
    <n v="8.7044811320754718"/>
    <x v="2"/>
    <n v="9000"/>
  </r>
  <r>
    <s v="Kade Paul"/>
    <x v="3"/>
    <s v="Marketing Coordinator"/>
    <d v="2024-08-14T00:00:00"/>
    <n v="160"/>
    <n v="10"/>
    <n v="5"/>
    <n v="3.125"/>
    <n v="5.5625"/>
    <x v="1"/>
    <n v="4000"/>
  </r>
  <r>
    <s v="Daphne Shah"/>
    <x v="3"/>
    <s v="Content Writer"/>
    <d v="2024-08-26T00:00:00"/>
    <n v="139"/>
    <n v="8.6875"/>
    <n v="10"/>
    <n v="7.1942446043165464"/>
    <n v="8.2033723021582734"/>
    <x v="2"/>
    <n v="9000"/>
  </r>
  <r>
    <s v="Zain Holmes"/>
    <x v="4"/>
    <s v="Software Developer"/>
    <d v="2024-09-16T00:00:00"/>
    <n v="144"/>
    <n v="9"/>
    <n v="6"/>
    <n v="4.1666666666666661"/>
    <n v="5.9833333333333334"/>
    <x v="1"/>
    <n v="4000"/>
  </r>
  <r>
    <s v="Bailey Perkins"/>
    <x v="4"/>
    <s v="IT Support Technician"/>
    <d v="2024-10-04T00:00:00"/>
    <n v="101"/>
    <n v="6.3125"/>
    <n v="9"/>
    <n v="8.9108910891089099"/>
    <n v="8.1491955445544555"/>
    <x v="2"/>
    <n v="9000"/>
  </r>
  <r>
    <s v="Kyrie Acosta"/>
    <x v="4"/>
    <s v="Database Administrator"/>
    <d v="2024-11-11T00:00:00"/>
    <n v="107"/>
    <n v="6.6875"/>
    <n v="7"/>
    <n v="6.5420560747663545"/>
    <n v="6.6772780373831777"/>
    <x v="0"/>
    <n v="6000"/>
  </r>
  <r>
    <s v="Kaia Mann"/>
    <x v="4"/>
    <s v="Quality Assurance Tester"/>
    <d v="2025-02-27T00:00:00"/>
    <n v="120"/>
    <n v="7.5"/>
    <n v="9"/>
    <n v="7.5"/>
    <n v="7.8"/>
    <x v="0"/>
    <n v="6000"/>
  </r>
  <r>
    <s v="Nehemiah Allison"/>
    <x v="4"/>
    <s v="Graphic Designer"/>
    <d v="2025-03-26T00:00:00"/>
    <n v="111"/>
    <n v="6.9375"/>
    <n v="10"/>
    <n v="9.0090090090090094"/>
    <n v="8.5857545045045036"/>
    <x v="2"/>
    <n v="9000"/>
  </r>
  <r>
    <s v="Chelsea Moyer"/>
    <x v="4"/>
    <s v="Software Developer"/>
    <d v="2025-07-30T00:00:00"/>
    <n v="147"/>
    <n v="9.1875"/>
    <n v="9"/>
    <n v="6.1224489795918364"/>
    <n v="7.6174744897959181"/>
    <x v="0"/>
    <n v="6000"/>
  </r>
  <r>
    <s v="Ahmir Daugherty"/>
    <x v="4"/>
    <s v="IT Support Technician"/>
    <d v="2025-12-03T00:00:00"/>
    <n v="130"/>
    <n v="8.125"/>
    <n v="9"/>
    <n v="6.9230769230769234"/>
    <n v="7.6990384615384615"/>
    <x v="0"/>
    <n v="6000"/>
  </r>
  <r>
    <s v="Magdalena Alexander"/>
    <x v="4"/>
    <s v="Database Administrator"/>
    <d v="2025-12-17T00:00:00"/>
    <n v="140"/>
    <n v="8.75"/>
    <n v="7"/>
    <n v="5"/>
    <n v="6.5250000000000004"/>
    <x v="0"/>
    <n v="6000"/>
  </r>
  <r>
    <s v="Kingston Marquez"/>
    <x v="4"/>
    <s v="Quality Assurance Tester"/>
    <d v="2026-01-09T00:00:00"/>
    <n v="101"/>
    <n v="6.3125"/>
    <n v="5"/>
    <n v="4.9504950495049505"/>
    <n v="5.3689975247524746"/>
    <x v="1"/>
    <n v="4000"/>
  </r>
  <r>
    <s v="Milani Arellano"/>
    <x v="4"/>
    <s v="Graphic Designer"/>
    <d v="2026-01-13T00:00:00"/>
    <n v="142"/>
    <n v="8.875"/>
    <n v="9"/>
    <n v="6.3380281690140841"/>
    <n v="7.6315140845070415"/>
    <x v="0"/>
    <n v="6000"/>
  </r>
  <r>
    <s v="Kellan Vazquez"/>
    <x v="0"/>
    <s v="HR Specialist"/>
    <d v="2026-02-05T00:00:00"/>
    <n v="109"/>
    <n v="6.8125"/>
    <n v="5"/>
    <n v="4.5871559633027523"/>
    <n v="5.3373279816513755"/>
    <x v="1"/>
    <n v="4000"/>
  </r>
  <r>
    <s v="Journee Jenkins"/>
    <x v="0"/>
    <s v="Recruiter"/>
    <d v="2026-02-06T00:00:00"/>
    <n v="127"/>
    <n v="7.9375"/>
    <n v="10"/>
    <n v="7.8740157480314963"/>
    <n v="8.3182578740157478"/>
    <x v="2"/>
    <n v="9000"/>
  </r>
  <r>
    <s v="Declan Franco"/>
    <x v="0"/>
    <s v="Office Administrator"/>
    <d v="2024-03-12T00:00:00"/>
    <n v="131"/>
    <n v="8.1875"/>
    <n v="5"/>
    <n v="3.8167938931297711"/>
    <n v="5.3646469465648856"/>
    <x v="1"/>
    <n v="4000"/>
  </r>
  <r>
    <s v="Charleigh Padilla"/>
    <x v="0"/>
    <s v="HR Specialist"/>
    <d v="2024-04-11T00:00:00"/>
    <n v="152"/>
    <n v="9.5"/>
    <n v="8"/>
    <n v="5.2631578947368416"/>
    <n v="7.0815789473684205"/>
    <x v="0"/>
    <n v="6000"/>
  </r>
  <r>
    <s v="Jaden Ochoa"/>
    <x v="0"/>
    <s v="Recruiter"/>
    <d v="2024-04-22T00:00:00"/>
    <n v="148"/>
    <n v="9.25"/>
    <n v="7"/>
    <n v="4.7297297297297298"/>
    <n v="6.5398648648648656"/>
    <x v="0"/>
    <n v="6000"/>
  </r>
  <r>
    <s v="Luciana Carroll"/>
    <x v="0"/>
    <s v="Office Administrator"/>
    <d v="2024-05-02T00:00:00"/>
    <n v="133"/>
    <n v="8.3125"/>
    <n v="5"/>
    <n v="3.7593984962406015"/>
    <n v="5.3734492481203002"/>
    <x v="1"/>
    <n v="4000"/>
  </r>
  <r>
    <s v="Oscar Acosta"/>
    <x v="0"/>
    <s v="HR Specialist"/>
    <d v="2024-09-24T00:00:00"/>
    <n v="122"/>
    <n v="7.625"/>
    <n v="7"/>
    <n v="5.7377049180327866"/>
    <n v="6.5563524590163933"/>
    <x v="0"/>
    <n v="6000"/>
  </r>
  <r>
    <s v="Kaia Weeks"/>
    <x v="0"/>
    <s v="Recruiter"/>
    <d v="2024-10-16T00:00:00"/>
    <n v="120"/>
    <n v="7.5"/>
    <n v="6"/>
    <n v="5"/>
    <n v="5.95"/>
    <x v="1"/>
    <n v="4000"/>
  </r>
  <r>
    <s v="Anders Spence"/>
    <x v="0"/>
    <s v="Office Administrator"/>
    <d v="2024-12-12T00:00:00"/>
    <n v="125"/>
    <n v="7.8125"/>
    <n v="5"/>
    <n v="4"/>
    <n v="5.34375"/>
    <x v="1"/>
    <n v="4000"/>
  </r>
  <r>
    <s v="Aislinn Gates"/>
    <x v="0"/>
    <s v="HR Specialist"/>
    <d v="2025-01-01T00:00:00"/>
    <n v="107"/>
    <n v="6.6875"/>
    <n v="6"/>
    <n v="5.6074766355140184"/>
    <n v="6.009988317757009"/>
    <x v="0"/>
    <n v="6000"/>
  </r>
  <r>
    <s v="Ermias Carrillo"/>
    <x v="1"/>
    <s v="Sales Executive"/>
    <d v="2025-01-15T00:00:00"/>
    <n v="105"/>
    <n v="6.5625"/>
    <n v="9"/>
    <n v="8.5714285714285712"/>
    <n v="8.0544642857142854"/>
    <x v="2"/>
    <n v="9000"/>
  </r>
  <r>
    <s v="Kaylani Benson"/>
    <x v="1"/>
    <s v="Customer Support Representative"/>
    <d v="2025-03-05T00:00:00"/>
    <n v="132"/>
    <n v="8.25"/>
    <n v="5"/>
    <n v="3.7878787878787881"/>
    <n v="5.3689393939393941"/>
    <x v="1"/>
    <n v="4000"/>
  </r>
  <r>
    <s v="Desmond Kirby"/>
    <x v="1"/>
    <s v="Account Manager"/>
    <d v="2025-03-06T00:00:00"/>
    <n v="136"/>
    <n v="8.5"/>
    <n v="6"/>
    <n v="4.4117647058823533"/>
    <n v="5.9558823529411766"/>
    <x v="1"/>
    <n v="4000"/>
  </r>
  <r>
    <s v="Skyla Gonzales"/>
    <x v="1"/>
    <s v="Sales Executive"/>
    <d v="2025-03-11T00:00:00"/>
    <n v="121"/>
    <n v="7.5625"/>
    <n v="8"/>
    <n v="6.6115702479338845"/>
    <n v="7.1745351239669422"/>
    <x v="0"/>
    <n v="6000"/>
  </r>
  <r>
    <s v="Brayden Burns"/>
    <x v="1"/>
    <s v="Customer Support Representative"/>
    <d v="2025-03-27T00:00:00"/>
    <n v="150"/>
    <n v="9.375"/>
    <n v="10"/>
    <n v="6.666666666666667"/>
    <n v="8.1458333333333339"/>
    <x v="2"/>
    <n v="9000"/>
  </r>
  <r>
    <s v="Emerson Blair"/>
    <x v="1"/>
    <s v="Account Manager"/>
    <d v="2025-06-02T00:00:00"/>
    <n v="129"/>
    <n v="8.0625"/>
    <n v="9"/>
    <n v="6.9767441860465116"/>
    <n v="7.7071220930232558"/>
    <x v="0"/>
    <n v="6000"/>
  </r>
  <r>
    <s v="Troy Gardner"/>
    <x v="1"/>
    <s v="Sales Executive"/>
    <d v="2025-06-11T00:00:00"/>
    <n v="119"/>
    <n v="7.4375"/>
    <n v="10"/>
    <n v="8.4033613445378155"/>
    <n v="8.4329306722689079"/>
    <x v="2"/>
    <n v="9000"/>
  </r>
  <r>
    <s v="Jordyn Todd"/>
    <x v="1"/>
    <s v="Customer Support Representative"/>
    <d v="2025-07-14T00:00:00"/>
    <n v="113"/>
    <n v="7.0625"/>
    <n v="6"/>
    <n v="5.3097345132743365"/>
    <n v="5.9736172566371684"/>
    <x v="1"/>
    <n v="4000"/>
  </r>
  <r>
    <s v="Baylor Enriquez"/>
    <x v="1"/>
    <s v="Account Manager"/>
    <d v="2025-08-14T00:00:00"/>
    <n v="158"/>
    <n v="9.875"/>
    <n v="7"/>
    <n v="4.4303797468354427"/>
    <n v="6.5776898734177216"/>
    <x v="0"/>
    <n v="6000"/>
  </r>
  <r>
    <s v="Nellie Richmond"/>
    <x v="1"/>
    <s v="Sales Executive"/>
    <d v="2025-08-26T00:00:00"/>
    <n v="127"/>
    <n v="7.9375"/>
    <n v="8"/>
    <n v="6.2992125984251963"/>
    <n v="7.1308562992125974"/>
    <x v="0"/>
    <n v="6000"/>
  </r>
  <r>
    <s v="Mordechai Faulkner"/>
    <x v="2"/>
    <s v="Accountant"/>
    <d v="2025-11-26T00:00:00"/>
    <n v="146"/>
    <n v="9.125"/>
    <n v="8"/>
    <n v="5.4794520547945202"/>
    <n v="7.0772260273972591"/>
    <x v="0"/>
    <n v="6000"/>
  </r>
  <r>
    <s v="Ansley Hendricks"/>
    <x v="2"/>
    <s v="Financial Analyst"/>
    <d v="2025-12-04T00:00:00"/>
    <n v="138"/>
    <n v="8.625"/>
    <n v="8"/>
    <n v="5.7971014492753623"/>
    <n v="7.0860507246376816"/>
    <x v="0"/>
    <n v="6000"/>
  </r>
  <r>
    <s v="Dash Robles"/>
    <x v="2"/>
    <s v="Business Analyst"/>
    <d v="2026-01-15T00:00:00"/>
    <n v="144"/>
    <n v="9"/>
    <n v="7"/>
    <n v="4.8611111111111116"/>
    <n v="6.5305555555555559"/>
    <x v="0"/>
    <n v="6000"/>
  </r>
  <r>
    <s v="Felicity Meyer"/>
    <x v="2"/>
    <s v="Accountant"/>
    <d v="2026-02-23T00:00:00"/>
    <n v="136"/>
    <n v="8.5"/>
    <n v="5"/>
    <n v="3.6764705882352944"/>
    <n v="5.3882352941176475"/>
    <x v="1"/>
    <n v="4000"/>
  </r>
  <r>
    <s v="Tristan Gallagher"/>
    <x v="2"/>
    <s v="Financial Analyst"/>
    <d v="2026-03-10T00:00:00"/>
    <n v="108"/>
    <n v="6.75"/>
    <n v="9"/>
    <n v="8.3333333333333321"/>
    <n v="7.9916666666666663"/>
    <x v="0"/>
    <n v="6000"/>
  </r>
  <r>
    <s v="Elliott Pitts"/>
    <x v="2"/>
    <s v="Business Analyst"/>
    <d v="2026-03-20T00:00:00"/>
    <n v="157"/>
    <n v="9.8125"/>
    <n v="6"/>
    <n v="3.8216560509554141"/>
    <n v="6.0545780254777073"/>
    <x v="0"/>
    <n v="6000"/>
  </r>
  <r>
    <s v="Trey Jensen"/>
    <x v="2"/>
    <s v="Accountant"/>
    <d v="2026-03-30T00:00:00"/>
    <n v="126"/>
    <n v="7.875"/>
    <n v="10"/>
    <n v="7.9365079365079358"/>
    <n v="8.3307539682539673"/>
    <x v="2"/>
    <n v="9000"/>
  </r>
  <r>
    <s v="Jane McDonald"/>
    <x v="2"/>
    <s v="Financial Analyst"/>
    <d v="2022-03-09T00:00:00"/>
    <n v="140"/>
    <n v="8.75"/>
    <n v="10"/>
    <n v="7.1428571428571423"/>
    <n v="8.1964285714285712"/>
    <x v="2"/>
    <n v="9000"/>
  </r>
  <r>
    <s v="Calvin Fowler"/>
    <x v="2"/>
    <s v="Business Analyst"/>
    <d v="2022-03-14T00:00:00"/>
    <n v="149"/>
    <n v="9.3125"/>
    <n v="6"/>
    <n v="4.0268456375838921"/>
    <n v="6.007172818791946"/>
    <x v="0"/>
    <n v="6000"/>
  </r>
  <r>
    <s v="Lennon Ware"/>
    <x v="2"/>
    <s v="Accountant"/>
    <d v="2022-04-11T00:00:00"/>
    <n v="136"/>
    <n v="8.5"/>
    <n v="7"/>
    <n v="5.1470588235294112"/>
    <n v="6.5235294117647058"/>
    <x v="0"/>
    <n v="6000"/>
  </r>
  <r>
    <s v="Tadeo Lamb"/>
    <x v="3"/>
    <s v="Marketing Coordinator"/>
    <d v="2022-04-13T00:00:00"/>
    <n v="145"/>
    <n v="9.0625"/>
    <n v="6"/>
    <n v="4.1379310344827589"/>
    <n v="5.9877155172413792"/>
    <x v="1"/>
    <n v="4000"/>
  </r>
  <r>
    <s v="Amaia Webster"/>
    <x v="3"/>
    <s v="Content Writer"/>
    <d v="2022-04-26T00:00:00"/>
    <n v="119"/>
    <n v="7.4375"/>
    <n v="9"/>
    <n v="7.5630252100840334"/>
    <n v="7.8127626050420167"/>
    <x v="0"/>
    <n v="6000"/>
  </r>
  <r>
    <s v="Shawn Erickson"/>
    <x v="3"/>
    <s v="Social Media Manager"/>
    <d v="2022-04-28T00:00:00"/>
    <n v="156"/>
    <n v="9.75"/>
    <n v="9"/>
    <n v="5.7692307692307692"/>
    <n v="7.6096153846153838"/>
    <x v="0"/>
    <n v="6000"/>
  </r>
  <r>
    <s v="Sabrina Daniels"/>
    <x v="3"/>
    <s v="Product Manager"/>
    <d v="2022-05-02T00:00:00"/>
    <n v="112"/>
    <n v="7"/>
    <n v="8"/>
    <n v="7.1428571428571423"/>
    <n v="7.2714285714285705"/>
    <x v="0"/>
    <n v="6000"/>
  </r>
  <r>
    <s v="Xander Livingston"/>
    <x v="3"/>
    <s v="Marketing Coordinator"/>
    <d v="2022-05-09T00:00:00"/>
    <n v="124"/>
    <n v="7.75"/>
    <n v="7"/>
    <n v="5.6451612903225801"/>
    <n v="6.5475806451612897"/>
    <x v="0"/>
    <n v="6000"/>
  </r>
  <r>
    <s v="Milena Petersen"/>
    <x v="3"/>
    <s v="Content Writer"/>
    <d v="2022-05-30T00:00:00"/>
    <n v="153"/>
    <n v="9.5625"/>
    <n v="8"/>
    <n v="5.2287581699346406"/>
    <n v="7.0831290849673199"/>
    <x v="0"/>
    <n v="6000"/>
  </r>
  <r>
    <s v="Samson Noble"/>
    <x v="3"/>
    <s v="Social Media Manager"/>
    <d v="2022-06-23T00:00:00"/>
    <n v="108"/>
    <n v="6.75"/>
    <n v="10"/>
    <n v="9.2592592592592595"/>
    <n v="8.6546296296296301"/>
    <x v="2"/>
    <n v="9000"/>
  </r>
  <r>
    <s v="Hunter Lindsey"/>
    <x v="3"/>
    <s v="Product Manager"/>
    <d v="2022-07-20T00:00:00"/>
    <n v="157"/>
    <n v="9.8125"/>
    <n v="8"/>
    <n v="5.095541401273886"/>
    <n v="7.0915207006369432"/>
    <x v="0"/>
    <n v="6000"/>
  </r>
  <r>
    <s v="Jayson Robles"/>
    <x v="3"/>
    <s v="Marketing Coordinator"/>
    <d v="2022-08-15T00:00:00"/>
    <n v="108"/>
    <n v="6.75"/>
    <n v="10"/>
    <n v="9.2592592592592595"/>
    <n v="8.6546296296296301"/>
    <x v="2"/>
    <n v="9000"/>
  </r>
  <r>
    <s v="Felicity Gill"/>
    <x v="3"/>
    <s v="Content Writer"/>
    <d v="2022-08-17T00:00:00"/>
    <n v="125"/>
    <n v="7.8125"/>
    <n v="6"/>
    <n v="4.8"/>
    <n v="5.9437500000000005"/>
    <x v="1"/>
    <n v="4000"/>
  </r>
  <r>
    <s v="Matthias Pham"/>
    <x v="4"/>
    <s v="Software Developer"/>
    <d v="2022-09-08T00:00:00"/>
    <n v="154"/>
    <n v="9.625"/>
    <n v="8"/>
    <n v="5.1948051948051948"/>
    <n v="7.0849025974025963"/>
    <x v="0"/>
    <n v="6000"/>
  </r>
  <r>
    <s v="Raelyn Aguirre"/>
    <x v="4"/>
    <s v="IT Support Technician"/>
    <d v="2022-09-14T00:00:00"/>
    <n v="116"/>
    <n v="7.25"/>
    <n v="6"/>
    <n v="5.1724137931034484"/>
    <n v="5.9612068965517242"/>
    <x v="1"/>
    <n v="4000"/>
  </r>
  <r>
    <s v="Andy McLaughlin"/>
    <x v="4"/>
    <s v="Database Administrator"/>
    <d v="2022-09-20T00:00:00"/>
    <n v="149"/>
    <n v="9.3125"/>
    <n v="5"/>
    <n v="3.3557046979865772"/>
    <n v="5.4716023489932883"/>
    <x v="1"/>
    <n v="4000"/>
  </r>
  <r>
    <s v="Stephanie Carson"/>
    <x v="4"/>
    <s v="Quality Assurance Tester"/>
    <d v="2022-10-07T00:00:00"/>
    <n v="132"/>
    <n v="8.25"/>
    <n v="7"/>
    <n v="5.3030303030303028"/>
    <n v="6.5265151515151523"/>
    <x v="0"/>
    <n v="6000"/>
  </r>
  <r>
    <s v="Ares Best"/>
    <x v="4"/>
    <s v="Graphic Designer"/>
    <d v="2022-10-14T00:00:00"/>
    <n v="153"/>
    <n v="9.5625"/>
    <n v="6"/>
    <n v="3.9215686274509802"/>
    <n v="6.02953431372549"/>
    <x v="0"/>
    <n v="6000"/>
  </r>
  <r>
    <s v="Lexie Patterson"/>
    <x v="4"/>
    <s v="Software Developer"/>
    <d v="2022-10-19T00:00:00"/>
    <n v="112"/>
    <n v="7"/>
    <n v="5"/>
    <n v="4.4642857142857144"/>
    <n v="5.3321428571428573"/>
    <x v="1"/>
    <n v="4000"/>
  </r>
  <r>
    <s v="Amir Morse"/>
    <x v="4"/>
    <s v="IT Support Technician"/>
    <d v="2022-10-21T00:00:00"/>
    <n v="114"/>
    <n v="7.125"/>
    <n v="5"/>
    <n v="4.3859649122807012"/>
    <n v="5.3304824561403503"/>
    <x v="1"/>
    <n v="4000"/>
  </r>
  <r>
    <s v="Kairi Lloyd"/>
    <x v="4"/>
    <s v="Database Administrator"/>
    <d v="2022-10-28T00:00:00"/>
    <n v="118"/>
    <n v="7.375"/>
    <n v="8"/>
    <n v="6.7796610169491522"/>
    <n v="7.2023305084745761"/>
    <x v="0"/>
    <n v="6000"/>
  </r>
  <r>
    <s v="Zaire Montgomery"/>
    <x v="4"/>
    <s v="Quality Assurance Tester"/>
    <d v="2023-01-10T00:00:00"/>
    <n v="123"/>
    <n v="7.6875"/>
    <n v="10"/>
    <n v="8.1300813008130071"/>
    <n v="8.3712906504065039"/>
    <x v="2"/>
    <n v="9000"/>
  </r>
  <r>
    <s v="Evangeline Horton"/>
    <x v="4"/>
    <s v="Graphic Designer"/>
    <d v="2023-01-31T00:00:00"/>
    <n v="139"/>
    <n v="8.6875"/>
    <n v="9"/>
    <n v="6.4748201438848918"/>
    <n v="7.6436600719424455"/>
    <x v="0"/>
    <n v="6000"/>
  </r>
  <r>
    <s v="Garrett Huff"/>
    <x v="1"/>
    <s v="Account Manager"/>
    <d v="2023-03-14T00:00:00"/>
    <n v="120"/>
    <n v="7.5"/>
    <n v="8"/>
    <n v="6.666666666666667"/>
    <n v="7.1833333333333336"/>
    <x v="0"/>
    <n v="6000"/>
  </r>
  <r>
    <s v="Karsyn Pearson"/>
    <x v="1"/>
    <s v="Sales Executive"/>
    <d v="2023-03-22T00:00:00"/>
    <n v="112"/>
    <n v="7"/>
    <n v="9"/>
    <n v="8.0357142857142865"/>
    <n v="7.9178571428571436"/>
    <x v="0"/>
    <n v="6000"/>
  </r>
  <r>
    <s v="Gunner Boyd"/>
    <x v="2"/>
    <s v="Accountant"/>
    <d v="2024-03-06T00:00:00"/>
    <n v="129"/>
    <n v="8.0625"/>
    <n v="5"/>
    <n v="3.8759689922480618"/>
    <n v="5.3567344961240302"/>
    <x v="1"/>
    <n v="4000"/>
  </r>
  <r>
    <s v="Georgia Benitez"/>
    <x v="2"/>
    <s v="Financial Analyst"/>
    <d v="2024-03-13T00:00:00"/>
    <n v="147"/>
    <n v="9.1875"/>
    <n v="10"/>
    <n v="6.8027210884353746"/>
    <n v="8.1576105442176878"/>
    <x v="2"/>
    <n v="9000"/>
  </r>
  <r>
    <s v="Justice Tucker"/>
    <x v="2"/>
    <s v="Business Analyst"/>
    <d v="2024-03-18T00:00:00"/>
    <n v="121"/>
    <n v="7.5625"/>
    <n v="6"/>
    <n v="4.9586776859504136"/>
    <n v="5.9480888429752072"/>
    <x v="1"/>
    <n v="4000"/>
  </r>
  <r>
    <s v="Esther Wise"/>
    <x v="2"/>
    <s v="Accountant"/>
    <d v="2024-03-28T00:00:00"/>
    <n v="147"/>
    <n v="9.1875"/>
    <n v="10"/>
    <n v="6.8027210884353746"/>
    <n v="8.1576105442176878"/>
    <x v="2"/>
    <n v="9000"/>
  </r>
  <r>
    <s v="Frederick Rivers"/>
    <x v="2"/>
    <s v="Financial Analyst"/>
    <d v="2024-04-19T00:00:00"/>
    <n v="146"/>
    <n v="9.125"/>
    <n v="9"/>
    <n v="6.1643835616438354"/>
    <n v="7.6196917808219178"/>
    <x v="0"/>
    <n v="6000"/>
  </r>
  <r>
    <s v="Kiana Giles"/>
    <x v="2"/>
    <s v="Business Analyst"/>
    <d v="2024-04-22T00:00:00"/>
    <n v="125"/>
    <n v="7.8125"/>
    <n v="5"/>
    <n v="4"/>
    <n v="5.34375"/>
    <x v="1"/>
    <n v="4000"/>
  </r>
  <r>
    <s v="Kole Campbell"/>
    <x v="2"/>
    <s v="Accountant"/>
    <d v="2024-05-01T00:00:00"/>
    <n v="122"/>
    <n v="7.625"/>
    <n v="9"/>
    <n v="7.3770491803278686"/>
    <n v="7.7760245901639342"/>
    <x v="0"/>
    <n v="6000"/>
  </r>
  <r>
    <s v="Addison Crosby"/>
    <x v="2"/>
    <s v="Financial Analyst"/>
    <d v="2024-05-31T00:00:00"/>
    <n v="138"/>
    <n v="8.625"/>
    <n v="6"/>
    <n v="4.3478260869565215"/>
    <n v="5.9614130434782604"/>
    <x v="1"/>
    <n v="4000"/>
  </r>
  <r>
    <s v="Tristen Gross"/>
    <x v="2"/>
    <s v="Business Analyst"/>
    <d v="2024-07-08T00:00:00"/>
    <n v="155"/>
    <n v="9.6875"/>
    <n v="9"/>
    <n v="5.806451612903226"/>
    <n v="7.6094758064516128"/>
    <x v="0"/>
    <n v="6000"/>
  </r>
  <r>
    <s v="Angel Suarez"/>
    <x v="2"/>
    <s v="Accountant"/>
    <d v="2024-07-12T00:00:00"/>
    <n v="158"/>
    <n v="9.875"/>
    <n v="5"/>
    <n v="3.1645569620253164"/>
    <n v="5.5447784810126581"/>
    <x v="1"/>
    <n v="4000"/>
  </r>
  <r>
    <s v="Soren Whitaker"/>
    <x v="3"/>
    <s v="Marketing Coordinator"/>
    <d v="2024-07-30T00:00:00"/>
    <n v="157"/>
    <n v="9.8125"/>
    <n v="8"/>
    <n v="5.095541401273886"/>
    <n v="7.0915207006369432"/>
    <x v="0"/>
    <n v="6000"/>
  </r>
  <r>
    <s v="Ivanna Stephenson"/>
    <x v="3"/>
    <s v="Content Writer"/>
    <d v="2024-09-06T00:00:00"/>
    <n v="110"/>
    <n v="6.875"/>
    <n v="10"/>
    <n v="9.0909090909090917"/>
    <n v="8.6079545454545467"/>
    <x v="2"/>
    <n v="9000"/>
  </r>
  <r>
    <s v="Joe Ponce"/>
    <x v="3"/>
    <s v="Social Media Manager"/>
    <d v="2024-10-10T00:00:00"/>
    <n v="135"/>
    <n v="8.4375"/>
    <n v="5"/>
    <n v="3.7037037037037033"/>
    <n v="5.3831018518518512"/>
    <x v="1"/>
    <n v="4000"/>
  </r>
  <r>
    <s v="Aileen Vazquez"/>
    <x v="3"/>
    <s v="Product Manager"/>
    <d v="2024-10-18T00:00:00"/>
    <n v="148"/>
    <n v="9.25"/>
    <n v="9"/>
    <n v="6.0810810810810816"/>
    <n v="7.6155405405405405"/>
    <x v="0"/>
    <n v="6000"/>
  </r>
  <r>
    <s v="Jesse Navarro"/>
    <x v="3"/>
    <s v="Marketing Coordinator"/>
    <d v="2024-10-28T00:00:00"/>
    <n v="140"/>
    <n v="8.75"/>
    <n v="10"/>
    <n v="7.1428571428571423"/>
    <n v="8.1964285714285712"/>
    <x v="2"/>
    <n v="9000"/>
  </r>
  <r>
    <s v="Winter Frazier"/>
    <x v="3"/>
    <s v="Content Writer"/>
    <d v="2024-12-03T00:00:00"/>
    <n v="144"/>
    <n v="9"/>
    <n v="9"/>
    <n v="6.25"/>
    <n v="7.6249999999999991"/>
    <x v="0"/>
    <n v="6000"/>
  </r>
  <r>
    <s v="Callum Maxwell"/>
    <x v="3"/>
    <s v="Social Media Manager"/>
    <d v="2025-01-07T00:00:00"/>
    <n v="150"/>
    <n v="9.375"/>
    <n v="8"/>
    <n v="5.3333333333333339"/>
    <n v="7.0791666666666675"/>
    <x v="0"/>
    <n v="6000"/>
  </r>
  <r>
    <s v="Kyla Villarreal"/>
    <x v="3"/>
    <s v="Product Manager"/>
    <d v="2025-01-29T00:00:00"/>
    <n v="119"/>
    <n v="7.4375"/>
    <n v="5"/>
    <n v="4.2016806722689077"/>
    <n v="5.3320903361344536"/>
    <x v="1"/>
    <n v="4000"/>
  </r>
  <r>
    <s v="Nikolai Wyatt"/>
    <x v="3"/>
    <s v="Marketing Coordinator"/>
    <d v="2025-02-04T00:00:00"/>
    <n v="107"/>
    <n v="6.6875"/>
    <n v="6"/>
    <n v="5.6074766355140184"/>
    <n v="6.009988317757009"/>
    <x v="0"/>
    <n v="6000"/>
  </r>
  <r>
    <s v="Liberty Clay"/>
    <x v="3"/>
    <s v="Content Writer"/>
    <d v="2025-02-10T00:00:00"/>
    <n v="122"/>
    <n v="7.625"/>
    <n v="6"/>
    <n v="4.918032786885246"/>
    <n v="5.9465163934426233"/>
    <x v="1"/>
    <n v="4000"/>
  </r>
  <r>
    <s v="Yosef Sosa"/>
    <x v="4"/>
    <s v="Software Developer"/>
    <d v="2025-02-19T00:00:00"/>
    <n v="122"/>
    <n v="7.625"/>
    <n v="9"/>
    <n v="7.3770491803278686"/>
    <n v="7.7760245901639342"/>
    <x v="0"/>
    <n v="6000"/>
  </r>
  <r>
    <s v="Cassandra Shaffer"/>
    <x v="4"/>
    <s v="IT Support Technician"/>
    <d v="2025-03-18T00:00:00"/>
    <n v="110"/>
    <n v="6.875"/>
    <n v="6"/>
    <n v="5.4545454545454541"/>
    <n v="5.9897727272727268"/>
    <x v="1"/>
    <n v="4000"/>
  </r>
  <r>
    <s v="Dexter Trejo"/>
    <x v="4"/>
    <s v="Database Administrator"/>
    <d v="2025-03-20T00:00:00"/>
    <n v="140"/>
    <n v="8.75"/>
    <n v="7"/>
    <n v="5"/>
    <n v="6.5250000000000004"/>
    <x v="0"/>
    <n v="6000"/>
  </r>
  <r>
    <s v="Rosalyn Huffman"/>
    <x v="4"/>
    <s v="Quality Assurance Tester"/>
    <d v="2025-03-27T00:00:00"/>
    <n v="101"/>
    <n v="6.3125"/>
    <n v="10"/>
    <n v="9.9009900990099009"/>
    <n v="8.8442450495049503"/>
    <x v="2"/>
    <n v="9000"/>
  </r>
  <r>
    <s v="Chris Roth"/>
    <x v="4"/>
    <s v="Graphic Designer"/>
    <d v="2025-03-31T00:00:00"/>
    <n v="105"/>
    <n v="6.5625"/>
    <n v="9"/>
    <n v="8.5714285714285712"/>
    <n v="8.0544642857142854"/>
    <x v="2"/>
    <n v="9000"/>
  </r>
  <r>
    <s v="Elliot Higgins"/>
    <x v="4"/>
    <s v="Software Developer"/>
    <d v="2022-05-02T00:00:00"/>
    <n v="113"/>
    <n v="7.0625"/>
    <n v="9"/>
    <n v="7.9646017699115044"/>
    <n v="7.9010508849557519"/>
    <x v="0"/>
    <n v="6000"/>
  </r>
  <r>
    <s v="Sterling Levy"/>
    <x v="4"/>
    <s v="IT Support Technician"/>
    <d v="2022-05-09T00:00:00"/>
    <n v="157"/>
    <n v="9.8125"/>
    <n v="6"/>
    <n v="3.8216560509554141"/>
    <n v="6.0545780254777073"/>
    <x v="0"/>
    <n v="6000"/>
  </r>
  <r>
    <s v="Flora Green"/>
    <x v="4"/>
    <s v="Database Administrator"/>
    <d v="2022-05-30T00:00:00"/>
    <n v="155"/>
    <n v="9.6875"/>
    <n v="6"/>
    <n v="3.870967741935484"/>
    <n v="6.0417338709677422"/>
    <x v="0"/>
    <n v="6000"/>
  </r>
  <r>
    <s v="Anthony Clayton"/>
    <x v="4"/>
    <s v="Quality Assurance Tester"/>
    <d v="2022-06-23T00:00:00"/>
    <n v="124"/>
    <n v="7.75"/>
    <n v="10"/>
    <n v="8.064516129032258"/>
    <n v="8.3572580645161292"/>
    <x v="2"/>
    <n v="9000"/>
  </r>
  <r>
    <s v="Saige Farley"/>
    <x v="4"/>
    <s v="Graphic Designer"/>
    <d v="2022-07-20T00:00:00"/>
    <n v="102"/>
    <n v="6.375"/>
    <n v="6"/>
    <n v="5.8823529411764701"/>
    <n v="6.0536764705882353"/>
    <x v="0"/>
    <n v="6000"/>
  </r>
  <r>
    <s v="Graysen Parrish"/>
    <x v="0"/>
    <s v="HR Specialist"/>
    <d v="2022-08-15T00:00:00"/>
    <n v="159"/>
    <n v="9.9375"/>
    <n v="10"/>
    <n v="6.2893081761006293"/>
    <n v="8.1259040880503139"/>
    <x v="2"/>
    <n v="9000"/>
  </r>
  <r>
    <s v="Tiana Mata"/>
    <x v="0"/>
    <s v="Recruiter"/>
    <d v="2022-08-17T00:00:00"/>
    <n v="137"/>
    <n v="8.5625"/>
    <n v="5"/>
    <n v="3.6496350364963499"/>
    <n v="5.393567518248175"/>
    <x v="1"/>
    <n v="4000"/>
  </r>
  <r>
    <s v="Ray Reed"/>
    <x v="0"/>
    <s v="Office Administrator"/>
    <d v="2022-09-08T00:00:00"/>
    <n v="139"/>
    <n v="8.6875"/>
    <n v="5"/>
    <n v="3.5971223021582732"/>
    <n v="5.4048111510791363"/>
    <x v="1"/>
    <n v="4000"/>
  </r>
  <r>
    <s v="Valentina Stout"/>
    <x v="0"/>
    <s v="HR Specialist"/>
    <d v="2022-09-14T00:00:00"/>
    <n v="149"/>
    <n v="9.3125"/>
    <n v="10"/>
    <n v="6.7114093959731544"/>
    <n v="8.1494546979865774"/>
    <x v="2"/>
    <n v="9000"/>
  </r>
  <r>
    <s v="Callahan Williamson"/>
    <x v="0"/>
    <s v="Recruiter"/>
    <d v="2022-09-20T00:00:00"/>
    <n v="147"/>
    <n v="9.1875"/>
    <n v="6"/>
    <n v="4.0816326530612246"/>
    <n v="5.9970663265306126"/>
    <x v="1"/>
    <n v="4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s v="Human Resources"/>
    <s v="HR Specialist"/>
    <d v="2023-04-26T00:00:00"/>
    <n v="116"/>
    <n v="7.25"/>
    <n v="7"/>
    <n v="6.0344827586206895"/>
    <n v="6.5922413793103445"/>
    <s v="Good"/>
    <n v="6000"/>
    <n v="6.5922613793103446"/>
  </r>
  <r>
    <x v="1"/>
    <s v="Human Resources"/>
    <s v="Recruiter"/>
    <d v="2023-05-02T00:00:00"/>
    <n v="134"/>
    <n v="8.375"/>
    <n v="9"/>
    <n v="6.7164179104477615"/>
    <n v="7.6707089552238807"/>
    <s v="Good"/>
    <n v="6000"/>
    <n v="7.6707389552238805"/>
  </r>
  <r>
    <x v="2"/>
    <s v="Human Resources"/>
    <s v="Office Administrator"/>
    <d v="2023-05-04T00:00:00"/>
    <n v="129"/>
    <n v="8.0625"/>
    <n v="5"/>
    <n v="3.8759689922480618"/>
    <n v="5.3567344961240302"/>
    <s v="Needs Improvement"/>
    <n v="4000"/>
    <n v="5.3567744961240304"/>
  </r>
  <r>
    <x v="3"/>
    <s v="Human Resources"/>
    <s v="HR Specialist"/>
    <d v="2023-05-18T00:00:00"/>
    <n v="140"/>
    <n v="8.75"/>
    <n v="10"/>
    <n v="7.1428571428571423"/>
    <n v="8.1964285714285712"/>
    <s v="Excellent"/>
    <n v="9000"/>
    <n v="8.1964785714285711"/>
  </r>
  <r>
    <x v="4"/>
    <s v="Human Resources"/>
    <s v="Recruiter"/>
    <d v="2023-08-04T00:00:00"/>
    <n v="143"/>
    <n v="8.9375"/>
    <n v="5"/>
    <n v="3.4965034965034967"/>
    <n v="5.4295017482517487"/>
    <s v="Needs Improvement"/>
    <n v="4000"/>
    <n v="5.4295617482517491"/>
  </r>
  <r>
    <x v="5"/>
    <s v="Human Resources"/>
    <s v="Office Administrator"/>
    <d v="2023-10-10T00:00:00"/>
    <n v="129"/>
    <n v="8.0625"/>
    <n v="9"/>
    <n v="6.9767441860465116"/>
    <n v="7.7071220930232558"/>
    <s v="Good"/>
    <n v="6000"/>
    <n v="7.7071920930232558"/>
  </r>
  <r>
    <x v="6"/>
    <s v="Human Resources"/>
    <s v="HR Specialist"/>
    <d v="2023-10-24T00:00:00"/>
    <n v="148"/>
    <n v="9.25"/>
    <n v="7"/>
    <n v="4.7297297297297298"/>
    <n v="6.5398648648648656"/>
    <s v="Good"/>
    <n v="6000"/>
    <n v="6.5399448648648653"/>
  </r>
  <r>
    <x v="7"/>
    <s v="Human Resources"/>
    <s v="Recruiter"/>
    <d v="2023-11-07T00:00:00"/>
    <n v="104"/>
    <n v="6.5"/>
    <n v="8"/>
    <n v="7.6923076923076925"/>
    <n v="7.3961538461538456"/>
    <s v="Good"/>
    <n v="6000"/>
    <n v="7.3962438461538458"/>
  </r>
  <r>
    <x v="8"/>
    <s v="Human Resources"/>
    <s v="Office Administrator"/>
    <d v="2023-12-29T00:00:00"/>
    <n v="130"/>
    <n v="8.125"/>
    <n v="9"/>
    <n v="6.9230769230769234"/>
    <n v="7.6990384615384615"/>
    <s v="Good"/>
    <n v="6000"/>
    <n v="7.6991384615384613"/>
  </r>
  <r>
    <x v="9"/>
    <s v="Human Resources"/>
    <s v="HR Specialist"/>
    <d v="2024-02-27T00:00:00"/>
    <n v="124"/>
    <n v="7.75"/>
    <n v="6"/>
    <n v="4.838709677419355"/>
    <n v="5.9443548387096774"/>
    <s v="Needs Improvement"/>
    <n v="4000"/>
    <n v="5.9444648387096777"/>
  </r>
  <r>
    <x v="10"/>
    <s v="Sales"/>
    <s v="Sales Executive"/>
    <d v="2024-05-21T00:00:00"/>
    <n v="125"/>
    <n v="7.8125"/>
    <n v="8"/>
    <n v="6.4"/>
    <n v="7.1437500000000007"/>
    <s v="Good"/>
    <n v="6000"/>
    <n v="7.1438700000000006"/>
  </r>
  <r>
    <x v="11"/>
    <s v="Sales"/>
    <s v="Customer Support Representative"/>
    <d v="2024-08-14T00:00:00"/>
    <n v="141"/>
    <n v="8.8125"/>
    <n v="7"/>
    <n v="4.9645390070921991"/>
    <n v="6.5260195035460997"/>
    <s v="Good"/>
    <n v="6000"/>
    <n v="6.5261495035461001"/>
  </r>
  <r>
    <x v="12"/>
    <s v="Sales"/>
    <s v="Account Manager"/>
    <d v="2024-08-26T00:00:00"/>
    <n v="110"/>
    <n v="6.875"/>
    <n v="6"/>
    <n v="5.4545454545454541"/>
    <n v="5.9897727272727268"/>
    <s v="Needs Improvement"/>
    <n v="4000"/>
    <n v="5.9899127272727268"/>
  </r>
  <r>
    <x v="13"/>
    <s v="Sales"/>
    <s v="Sales Executive"/>
    <d v="2024-09-16T00:00:00"/>
    <n v="112"/>
    <n v="7"/>
    <n v="9"/>
    <n v="8.0357142857142865"/>
    <n v="7.9178571428571436"/>
    <s v="Good"/>
    <n v="6000"/>
    <n v="7.9180071428571432"/>
  </r>
  <r>
    <x v="14"/>
    <s v="Sales"/>
    <s v="Customer Support Representative"/>
    <d v="2024-10-04T00:00:00"/>
    <n v="103"/>
    <n v="6.4375"/>
    <n v="10"/>
    <n v="9.7087378640776691"/>
    <n v="8.7856189320388349"/>
    <s v="Excellent"/>
    <n v="9000"/>
    <n v="8.7857789320388342"/>
  </r>
  <r>
    <x v="15"/>
    <s v="Sales"/>
    <s v="Account Manager"/>
    <d v="2024-11-11T00:00:00"/>
    <n v="105"/>
    <n v="6.5625"/>
    <n v="6"/>
    <n v="5.7142857142857144"/>
    <n v="6.0258928571428578"/>
    <s v="Good"/>
    <n v="6000"/>
    <n v="6.0260628571428576"/>
  </r>
  <r>
    <x v="16"/>
    <s v="Sales"/>
    <s v="Sales Executive"/>
    <d v="2025-02-27T00:00:00"/>
    <n v="119"/>
    <n v="7.4375"/>
    <n v="5"/>
    <n v="4.2016806722689077"/>
    <n v="5.3320903361344536"/>
    <s v="Needs Improvement"/>
    <n v="4000"/>
    <n v="5.3322703361344539"/>
  </r>
  <r>
    <x v="17"/>
    <s v="Sales"/>
    <s v="Customer Support Representative"/>
    <d v="2025-03-26T00:00:00"/>
    <n v="131"/>
    <n v="8.1875"/>
    <n v="6"/>
    <n v="4.5801526717557248"/>
    <n v="5.9463263358778624"/>
    <s v="Needs Improvement"/>
    <n v="4000"/>
    <n v="5.9465163358778623"/>
  </r>
  <r>
    <x v="18"/>
    <s v="Sales"/>
    <s v="Account Manager"/>
    <d v="2025-07-30T00:00:00"/>
    <n v="129"/>
    <n v="8.0625"/>
    <n v="9"/>
    <n v="6.9767441860465116"/>
    <n v="7.7071220930232558"/>
    <s v="Good"/>
    <n v="6000"/>
    <n v="7.7073220930232562"/>
  </r>
  <r>
    <x v="19"/>
    <s v="Sales"/>
    <s v="Sales Executive"/>
    <d v="2025-12-03T00:00:00"/>
    <n v="151"/>
    <n v="9.4375"/>
    <n v="7"/>
    <n v="4.6357615894039732"/>
    <n v="6.5491307947019868"/>
    <s v="Good"/>
    <n v="6000"/>
    <n v="6.5493407947019868"/>
  </r>
  <r>
    <x v="20"/>
    <s v="Finance"/>
    <s v="Accountant"/>
    <d v="2025-12-17T00:00:00"/>
    <n v="142"/>
    <n v="8.875"/>
    <n v="7"/>
    <n v="4.929577464788732"/>
    <n v="6.527288732394366"/>
    <s v="Good"/>
    <n v="6000"/>
    <n v="6.5275087323943657"/>
  </r>
  <r>
    <x v="21"/>
    <s v="Finance"/>
    <s v="Financial Analyst"/>
    <d v="2026-01-09T00:00:00"/>
    <n v="112"/>
    <n v="7"/>
    <n v="6"/>
    <n v="5.3571428571428568"/>
    <n v="5.9785714285714286"/>
    <s v="Needs Improvement"/>
    <n v="4000"/>
    <n v="5.9788014285714288"/>
  </r>
  <r>
    <x v="22"/>
    <s v="Finance"/>
    <s v="Business Analyst"/>
    <d v="2026-01-13T00:00:00"/>
    <n v="137"/>
    <n v="8.5625"/>
    <n v="7"/>
    <n v="5.1094890510948909"/>
    <n v="6.5234945255474459"/>
    <s v="Good"/>
    <n v="6000"/>
    <n v="6.5237345255474457"/>
  </r>
  <r>
    <x v="23"/>
    <s v="Finance"/>
    <s v="Accountant"/>
    <d v="2026-02-05T00:00:00"/>
    <n v="150"/>
    <n v="9.375"/>
    <n v="6"/>
    <n v="4"/>
    <n v="6.0125000000000002"/>
    <s v="Good"/>
    <n v="6000"/>
    <n v="6.0127500000000005"/>
  </r>
  <r>
    <x v="24"/>
    <s v="Finance"/>
    <s v="Financial Analyst"/>
    <d v="2026-02-06T00:00:00"/>
    <n v="159"/>
    <n v="9.9375"/>
    <n v="6"/>
    <n v="3.7735849056603774"/>
    <n v="6.0680424528301886"/>
    <s v="Good"/>
    <n v="6000"/>
    <n v="6.0683024528301885"/>
  </r>
  <r>
    <x v="25"/>
    <s v="Finance"/>
    <s v="Business Analyst"/>
    <d v="2024-03-12T00:00:00"/>
    <n v="108"/>
    <n v="6.75"/>
    <n v="6"/>
    <n v="5.5555555555555554"/>
    <n v="6.0027777777777773"/>
    <s v="Good"/>
    <n v="6000"/>
    <n v="6.0030477777777778"/>
  </r>
  <r>
    <x v="26"/>
    <s v="Finance"/>
    <s v="Accountant"/>
    <d v="2024-04-11T00:00:00"/>
    <n v="152"/>
    <n v="9.5"/>
    <n v="10"/>
    <n v="6.5789473684210522"/>
    <n v="8.1394736842105253"/>
    <s v="Excellent"/>
    <n v="9000"/>
    <n v="8.1397536842105254"/>
  </r>
  <r>
    <x v="27"/>
    <s v="Finance"/>
    <s v="Financial Analyst"/>
    <d v="2024-04-22T00:00:00"/>
    <n v="155"/>
    <n v="9.6875"/>
    <n v="6"/>
    <n v="3.870967741935484"/>
    <n v="6.0417338709677422"/>
    <s v="Good"/>
    <n v="6000"/>
    <n v="6.0420238709677418"/>
  </r>
  <r>
    <x v="28"/>
    <s v="Finance"/>
    <s v="Business Analyst"/>
    <d v="2024-05-02T00:00:00"/>
    <n v="126"/>
    <n v="7.875"/>
    <n v="6"/>
    <n v="4.7619047619047619"/>
    <n v="5.9434523809523805"/>
    <s v="Needs Improvement"/>
    <n v="4000"/>
    <n v="5.9437523809523807"/>
  </r>
  <r>
    <x v="29"/>
    <s v="Finance"/>
    <s v="Accountant"/>
    <d v="2024-09-24T00:00:00"/>
    <n v="105"/>
    <n v="6.5625"/>
    <n v="5"/>
    <n v="4.7619047619047619"/>
    <n v="5.3497023809523814"/>
    <s v="Needs Improvement"/>
    <n v="4000"/>
    <n v="5.3500123809523812"/>
  </r>
  <r>
    <x v="30"/>
    <s v="Marketing"/>
    <s v="Marketing Coordinator"/>
    <d v="2024-10-16T00:00:00"/>
    <n v="146"/>
    <n v="9.125"/>
    <n v="10"/>
    <n v="6.8493150684931505"/>
    <n v="8.1621575342465746"/>
    <s v="Excellent"/>
    <n v="9000"/>
    <n v="8.162477534246575"/>
  </r>
  <r>
    <x v="31"/>
    <s v="Marketing"/>
    <s v="Content Writer"/>
    <d v="2024-12-12T00:00:00"/>
    <n v="155"/>
    <n v="9.6875"/>
    <n v="8"/>
    <n v="5.161290322580645"/>
    <n v="7.0868951612903217"/>
    <s v="Good"/>
    <n v="6000"/>
    <n v="7.0872251612903217"/>
  </r>
  <r>
    <x v="32"/>
    <s v="Marketing"/>
    <s v="Social Media Manager"/>
    <d v="2025-01-01T00:00:00"/>
    <n v="116"/>
    <n v="7.25"/>
    <n v="6"/>
    <n v="5.1724137931034484"/>
    <n v="5.9612068965517242"/>
    <s v="Needs Improvement"/>
    <n v="4000"/>
    <n v="5.9615468965517238"/>
  </r>
  <r>
    <x v="33"/>
    <s v="Marketing"/>
    <s v="Product Manager"/>
    <d v="2025-01-15T00:00:00"/>
    <n v="160"/>
    <n v="10"/>
    <n v="9"/>
    <n v="5.625"/>
    <n v="7.6124999999999998"/>
    <s v="Good"/>
    <n v="6000"/>
    <n v="7.6128499999999999"/>
  </r>
  <r>
    <x v="34"/>
    <s v="Marketing"/>
    <s v="Marketing Coordinator"/>
    <d v="2025-03-05T00:00:00"/>
    <n v="136"/>
    <n v="8.5"/>
    <n v="8"/>
    <n v="5.8823529411764701"/>
    <n v="7.0911764705882341"/>
    <s v="Good"/>
    <n v="6000"/>
    <n v="7.0915364705882338"/>
  </r>
  <r>
    <x v="35"/>
    <s v="Marketing"/>
    <s v="Content Writer"/>
    <d v="2025-03-06T00:00:00"/>
    <n v="122"/>
    <n v="7.625"/>
    <n v="7"/>
    <n v="5.7377049180327866"/>
    <n v="6.5563524590163933"/>
    <s v="Good"/>
    <n v="6000"/>
    <n v="6.5567224590163935"/>
  </r>
  <r>
    <x v="36"/>
    <s v="Marketing"/>
    <s v="Social Media Manager"/>
    <d v="2025-03-11T00:00:00"/>
    <n v="126"/>
    <n v="7.875"/>
    <n v="8"/>
    <n v="6.3492063492063489"/>
    <n v="7.1371031746031743"/>
    <s v="Good"/>
    <n v="6000"/>
    <n v="7.1374831746031742"/>
  </r>
  <r>
    <x v="37"/>
    <s v="Marketing"/>
    <s v="Product Manager"/>
    <d v="2025-03-27T00:00:00"/>
    <n v="102"/>
    <n v="6.375"/>
    <n v="9"/>
    <n v="8.8235294117647065"/>
    <n v="8.1242647058823536"/>
    <s v="Excellent"/>
    <n v="9000"/>
    <n v="8.1246547058823531"/>
  </r>
  <r>
    <x v="38"/>
    <s v="Marketing"/>
    <s v="Marketing Coordinator"/>
    <d v="2025-06-02T00:00:00"/>
    <n v="156"/>
    <n v="9.75"/>
    <n v="5"/>
    <n v="3.2051282051282048"/>
    <n v="5.527564102564102"/>
    <s v="Needs Improvement"/>
    <n v="4000"/>
    <n v="5.527964102564102"/>
  </r>
  <r>
    <x v="39"/>
    <s v="Marketing"/>
    <s v="Content Writer"/>
    <d v="2025-06-11T00:00:00"/>
    <n v="126"/>
    <n v="7.875"/>
    <n v="6"/>
    <n v="4.7619047619047619"/>
    <n v="5.9434523809523805"/>
    <s v="Needs Improvement"/>
    <n v="4000"/>
    <n v="5.9438623809523801"/>
  </r>
  <r>
    <x v="40"/>
    <s v="IT"/>
    <s v="Software Developer"/>
    <d v="2025-07-14T00:00:00"/>
    <n v="113"/>
    <n v="7.0625"/>
    <n v="5"/>
    <n v="4.4247787610619467"/>
    <n v="5.3311393805309732"/>
    <s v="Needs Improvement"/>
    <n v="4000"/>
    <n v="5.3315593805309733"/>
  </r>
  <r>
    <x v="41"/>
    <s v="IT"/>
    <s v="IT Support Technician"/>
    <d v="2025-08-14T00:00:00"/>
    <n v="112"/>
    <n v="7"/>
    <n v="6"/>
    <n v="5.3571428571428568"/>
    <n v="5.9785714285714286"/>
    <s v="Needs Improvement"/>
    <n v="4000"/>
    <n v="5.9790014285714284"/>
  </r>
  <r>
    <x v="42"/>
    <s v="IT"/>
    <s v="Database Administrator"/>
    <d v="2025-08-26T00:00:00"/>
    <n v="100"/>
    <n v="6.25"/>
    <n v="7"/>
    <n v="7.0000000000000009"/>
    <n v="6.7750000000000004"/>
    <s v="Good"/>
    <n v="6000"/>
    <n v="6.7754400000000006"/>
  </r>
  <r>
    <x v="43"/>
    <s v="IT"/>
    <s v="Quality Assurance Tester"/>
    <d v="2025-11-26T00:00:00"/>
    <n v="122"/>
    <n v="7.625"/>
    <n v="9"/>
    <n v="7.3770491803278686"/>
    <n v="7.7760245901639342"/>
    <s v="Good"/>
    <n v="6000"/>
    <n v="7.7764745901639341"/>
  </r>
  <r>
    <x v="44"/>
    <s v="IT"/>
    <s v="Graphic Designer"/>
    <d v="2025-12-04T00:00:00"/>
    <n v="142"/>
    <n v="8.875"/>
    <n v="8"/>
    <n v="5.6338028169014089"/>
    <n v="7.0794014084507051"/>
    <s v="Good"/>
    <n v="6000"/>
    <n v="7.0798614084507054"/>
  </r>
  <r>
    <x v="45"/>
    <s v="IT"/>
    <s v="Software Developer"/>
    <d v="2026-01-15T00:00:00"/>
    <n v="152"/>
    <n v="9.5"/>
    <n v="6"/>
    <n v="3.9473684210526314"/>
    <n v="6.0236842105263158"/>
    <s v="Good"/>
    <n v="6000"/>
    <n v="6.0241542105263157"/>
  </r>
  <r>
    <x v="46"/>
    <s v="IT"/>
    <s v="IT Support Technician"/>
    <d v="2026-02-23T00:00:00"/>
    <n v="119"/>
    <n v="7.4375"/>
    <n v="10"/>
    <n v="8.4033613445378155"/>
    <n v="8.4329306722689079"/>
    <s v="Excellent"/>
    <n v="9000"/>
    <n v="8.4334106722689075"/>
  </r>
  <r>
    <x v="47"/>
    <s v="IT"/>
    <s v="Database Administrator"/>
    <d v="2026-03-10T00:00:00"/>
    <n v="158"/>
    <n v="9.875"/>
    <n v="7"/>
    <n v="4.4303797468354427"/>
    <n v="6.5776898734177216"/>
    <s v="Good"/>
    <n v="6000"/>
    <n v="6.5781798734177217"/>
  </r>
  <r>
    <x v="48"/>
    <s v="IT"/>
    <s v="Quality Assurance Tester"/>
    <d v="2026-03-20T00:00:00"/>
    <n v="105"/>
    <n v="6.5625"/>
    <n v="10"/>
    <n v="9.5238095238095237"/>
    <n v="8.7306547619047628"/>
    <s v="Excellent"/>
    <n v="9000"/>
    <n v="8.7311547619047634"/>
  </r>
  <r>
    <x v="49"/>
    <s v="IT"/>
    <s v="Graphic Designer"/>
    <d v="2026-03-30T00:00:00"/>
    <n v="136"/>
    <n v="8.5"/>
    <n v="5"/>
    <n v="3.6764705882352944"/>
    <n v="5.3882352941176475"/>
    <s v="Needs Improvement"/>
    <n v="4000"/>
    <n v="5.3887452941176477"/>
  </r>
  <r>
    <x v="50"/>
    <s v="Human Resources"/>
    <s v="HR Specialist"/>
    <d v="2022-03-09T00:00:00"/>
    <n v="109"/>
    <n v="6.8125"/>
    <n v="9"/>
    <n v="8.2568807339449553"/>
    <n v="7.9721903669724776"/>
    <s v="Good"/>
    <n v="6000"/>
    <n v="7.9727103669724775"/>
  </r>
  <r>
    <x v="51"/>
    <s v="Human Resources"/>
    <s v="Recruiter"/>
    <d v="2022-03-14T00:00:00"/>
    <n v="153"/>
    <n v="9.5625"/>
    <n v="5"/>
    <n v="3.2679738562091507"/>
    <n v="5.502736928104575"/>
    <s v="Needs Improvement"/>
    <n v="4000"/>
    <n v="5.5032669281045754"/>
  </r>
  <r>
    <x v="52"/>
    <s v="Human Resources"/>
    <s v="Office Administrator"/>
    <d v="2022-04-11T00:00:00"/>
    <n v="113"/>
    <n v="7.0625"/>
    <n v="6"/>
    <n v="5.3097345132743365"/>
    <n v="5.9736172566371684"/>
    <s v="Needs Improvement"/>
    <n v="4000"/>
    <n v="5.9741572566371683"/>
  </r>
  <r>
    <x v="53"/>
    <s v="Human Resources"/>
    <s v="HR Specialist"/>
    <d v="2022-04-13T00:00:00"/>
    <n v="140"/>
    <n v="8.75"/>
    <n v="9"/>
    <n v="6.4285714285714279"/>
    <n v="7.6392857142857133"/>
    <s v="Good"/>
    <n v="6000"/>
    <n v="7.639835714285713"/>
  </r>
  <r>
    <x v="54"/>
    <s v="Human Resources"/>
    <s v="Recruiter"/>
    <d v="2022-04-26T00:00:00"/>
    <n v="136"/>
    <n v="8.5"/>
    <n v="9"/>
    <n v="6.6176470588235299"/>
    <n v="7.658823529411765"/>
    <s v="Good"/>
    <n v="6000"/>
    <n v="7.6593835294117651"/>
  </r>
  <r>
    <x v="55"/>
    <s v="Human Resources"/>
    <s v="Office Administrator"/>
    <d v="2022-04-28T00:00:00"/>
    <n v="146"/>
    <n v="9.125"/>
    <n v="8"/>
    <n v="5.4794520547945202"/>
    <n v="7.0772260273972591"/>
    <s v="Good"/>
    <n v="6000"/>
    <n v="7.0777960273972589"/>
  </r>
  <r>
    <x v="56"/>
    <s v="Human Resources"/>
    <s v="HR Specialist"/>
    <d v="2022-05-02T00:00:00"/>
    <n v="118"/>
    <n v="7.375"/>
    <n v="9"/>
    <n v="7.6271186440677967"/>
    <n v="7.8260593220338981"/>
    <s v="Good"/>
    <n v="6000"/>
    <n v="7.8266393220338983"/>
  </r>
  <r>
    <x v="57"/>
    <s v="Human Resources"/>
    <s v="Recruiter"/>
    <d v="2022-05-09T00:00:00"/>
    <n v="111"/>
    <n v="6.9375"/>
    <n v="5"/>
    <n v="4.5045045045045047"/>
    <n v="5.3335022522522522"/>
    <s v="Needs Improvement"/>
    <n v="4000"/>
    <n v="5.334092252252252"/>
  </r>
  <r>
    <x v="58"/>
    <s v="Human Resources"/>
    <s v="Office Administrator"/>
    <d v="2022-05-30T00:00:00"/>
    <n v="124"/>
    <n v="7.75"/>
    <n v="10"/>
    <n v="8.064516129032258"/>
    <n v="8.3572580645161292"/>
    <s v="Excellent"/>
    <n v="9000"/>
    <n v="8.3578580645161296"/>
  </r>
  <r>
    <x v="59"/>
    <s v="Human Resources"/>
    <s v="HR Specialist"/>
    <d v="2022-06-23T00:00:00"/>
    <n v="132"/>
    <n v="8.25"/>
    <n v="8"/>
    <n v="6.0606060606060606"/>
    <n v="7.1053030303030305"/>
    <s v="Good"/>
    <n v="6000"/>
    <n v="7.1059130303030305"/>
  </r>
  <r>
    <x v="60"/>
    <s v="Sales"/>
    <s v="Sales Executive"/>
    <d v="2022-07-20T00:00:00"/>
    <n v="117"/>
    <n v="7.3125"/>
    <n v="5"/>
    <n v="4.2735042735042734"/>
    <n v="5.3305021367521368"/>
    <s v="Needs Improvement"/>
    <n v="4000"/>
    <n v="5.3311221367521364"/>
  </r>
  <r>
    <x v="61"/>
    <s v="Sales"/>
    <s v="Customer Support Representative"/>
    <d v="2022-08-15T00:00:00"/>
    <n v="116"/>
    <n v="7.25"/>
    <n v="5"/>
    <n v="4.3103448275862073"/>
    <n v="5.3301724137931039"/>
    <s v="Needs Improvement"/>
    <n v="4000"/>
    <n v="5.330802413793104"/>
  </r>
  <r>
    <x v="62"/>
    <s v="Sales"/>
    <s v="Account Manager"/>
    <d v="2022-08-17T00:00:00"/>
    <n v="111"/>
    <n v="6.9375"/>
    <n v="8"/>
    <n v="7.2072072072072073"/>
    <n v="7.2848536036036027"/>
    <s v="Good"/>
    <n v="6000"/>
    <n v="7.2854936036036024"/>
  </r>
  <r>
    <x v="63"/>
    <s v="Sales"/>
    <s v="Sales Executive"/>
    <d v="2022-09-08T00:00:00"/>
    <n v="114"/>
    <n v="7.125"/>
    <n v="6"/>
    <n v="5.2631578947368416"/>
    <n v="5.9690789473684207"/>
    <s v="Needs Improvement"/>
    <n v="4000"/>
    <n v="5.969728947368421"/>
  </r>
  <r>
    <x v="64"/>
    <s v="Sales"/>
    <s v="Customer Support Representative"/>
    <d v="2022-09-14T00:00:00"/>
    <n v="108"/>
    <n v="6.75"/>
    <n v="8"/>
    <n v="7.4074074074074066"/>
    <n v="7.3287037037037024"/>
    <s v="Good"/>
    <n v="6000"/>
    <n v="7.3293637037037023"/>
  </r>
  <r>
    <x v="65"/>
    <s v="Sales"/>
    <s v="Account Manager"/>
    <d v="2022-09-20T00:00:00"/>
    <n v="102"/>
    <n v="6.375"/>
    <n v="6"/>
    <n v="5.8823529411764701"/>
    <n v="6.0536764705882353"/>
    <s v="Good"/>
    <n v="6000"/>
    <n v="6.0543464705882357"/>
  </r>
  <r>
    <x v="66"/>
    <s v="Sales"/>
    <s v="Sales Executive"/>
    <d v="2022-10-07T00:00:00"/>
    <n v="115"/>
    <n v="7.1875"/>
    <n v="10"/>
    <n v="8.695652173913043"/>
    <n v="8.5040760869565215"/>
    <s v="Excellent"/>
    <n v="9000"/>
    <n v="8.5047560869565206"/>
  </r>
  <r>
    <x v="67"/>
    <s v="Sales"/>
    <s v="Customer Support Representative"/>
    <d v="2022-10-14T00:00:00"/>
    <n v="119"/>
    <n v="7.4375"/>
    <n v="6"/>
    <n v="5.0420168067226889"/>
    <n v="5.9522584033613439"/>
    <s v="Needs Improvement"/>
    <n v="4000"/>
    <n v="5.9529484033613436"/>
  </r>
  <r>
    <x v="68"/>
    <s v="Sales"/>
    <s v="Account Manager"/>
    <d v="2022-10-19T00:00:00"/>
    <n v="108"/>
    <n v="6.75"/>
    <n v="10"/>
    <n v="9.2592592592592595"/>
    <n v="8.6546296296296301"/>
    <s v="Excellent"/>
    <n v="9000"/>
    <n v="8.6553296296296303"/>
  </r>
  <r>
    <x v="69"/>
    <s v="Sales"/>
    <s v="Sales Executive"/>
    <d v="2022-10-21T00:00:00"/>
    <n v="144"/>
    <n v="9"/>
    <n v="10"/>
    <n v="6.9444444444444446"/>
    <n v="8.1722222222222225"/>
    <s v="Excellent"/>
    <n v="9000"/>
    <n v="8.1729322222222223"/>
  </r>
  <r>
    <x v="70"/>
    <s v="Finance"/>
    <s v="Accountant"/>
    <d v="2022-10-28T00:00:00"/>
    <n v="118"/>
    <n v="7.375"/>
    <n v="7"/>
    <n v="5.9322033898305087"/>
    <n v="6.578601694915255"/>
    <s v="Good"/>
    <n v="6000"/>
    <n v="6.5793216949152553"/>
  </r>
  <r>
    <x v="71"/>
    <s v="Finance"/>
    <s v="Financial Analyst"/>
    <d v="2023-01-10T00:00:00"/>
    <n v="127"/>
    <n v="7.9375"/>
    <n v="6"/>
    <n v="4.7244094488188972"/>
    <n v="5.9434547244094489"/>
    <s v="Needs Improvement"/>
    <n v="4000"/>
    <n v="5.9441847244094488"/>
  </r>
  <r>
    <x v="72"/>
    <s v="Finance"/>
    <s v="Business Analyst"/>
    <d v="2023-01-31T00:00:00"/>
    <n v="139"/>
    <n v="8.6875"/>
    <n v="7"/>
    <n v="5.0359712230215825"/>
    <n v="6.5242356115107913"/>
    <s v="Good"/>
    <n v="6000"/>
    <n v="6.5249756115107918"/>
  </r>
  <r>
    <x v="73"/>
    <s v="Finance"/>
    <s v="Accountant"/>
    <d v="2023-03-14T00:00:00"/>
    <n v="103"/>
    <n v="6.4375"/>
    <n v="5"/>
    <n v="4.8543689320388346"/>
    <n v="5.3584344660194176"/>
    <s v="Needs Improvement"/>
    <n v="4000"/>
    <n v="5.3591844660194177"/>
  </r>
  <r>
    <x v="74"/>
    <s v="Finance"/>
    <s v="Financial Analyst"/>
    <d v="2023-03-22T00:00:00"/>
    <n v="117"/>
    <n v="7.3125"/>
    <n v="8"/>
    <n v="6.8376068376068382"/>
    <n v="7.2125534188034184"/>
    <s v="Good"/>
    <n v="6000"/>
    <n v="7.213313418803418"/>
  </r>
  <r>
    <x v="75"/>
    <s v="Finance"/>
    <s v="Business Analyst"/>
    <d v="2024-03-06T00:00:00"/>
    <n v="130"/>
    <n v="8.125"/>
    <n v="5"/>
    <n v="3.8461538461538463"/>
    <n v="5.3605769230769234"/>
    <s v="Needs Improvement"/>
    <n v="4000"/>
    <n v="5.3613469230769235"/>
  </r>
  <r>
    <x v="76"/>
    <s v="Finance"/>
    <s v="Accountant"/>
    <d v="2024-03-13T00:00:00"/>
    <n v="126"/>
    <n v="7.875"/>
    <n v="5"/>
    <n v="3.9682539682539679"/>
    <n v="5.346626984126984"/>
    <s v="Needs Improvement"/>
    <n v="4000"/>
    <n v="5.3474069841269838"/>
  </r>
  <r>
    <x v="77"/>
    <s v="Finance"/>
    <s v="Financial Analyst"/>
    <d v="2024-03-18T00:00:00"/>
    <n v="105"/>
    <n v="6.5625"/>
    <n v="7"/>
    <n v="6.666666666666667"/>
    <n v="6.7020833333333343"/>
    <s v="Good"/>
    <n v="6000"/>
    <n v="6.7028733333333346"/>
  </r>
  <r>
    <x v="78"/>
    <s v="Finance"/>
    <s v="Business Analyst"/>
    <d v="2024-03-28T00:00:00"/>
    <n v="121"/>
    <n v="7.5625"/>
    <n v="9"/>
    <n v="7.4380165289256199"/>
    <n v="7.7877582644628101"/>
    <s v="Good"/>
    <n v="6000"/>
    <n v="7.78855826446281"/>
  </r>
  <r>
    <x v="79"/>
    <s v="Finance"/>
    <s v="Accountant"/>
    <d v="2024-04-19T00:00:00"/>
    <n v="125"/>
    <n v="7.8125"/>
    <n v="9"/>
    <n v="7.1999999999999993"/>
    <n v="7.7437499999999995"/>
    <s v="Good"/>
    <n v="6000"/>
    <n v="7.7445599999999999"/>
  </r>
  <r>
    <x v="80"/>
    <s v="Marketing"/>
    <s v="Marketing Coordinator"/>
    <d v="2024-04-22T00:00:00"/>
    <n v="106"/>
    <n v="6.625"/>
    <n v="9"/>
    <n v="8.4905660377358494"/>
    <n v="8.0327830188679243"/>
    <s v="Excellent"/>
    <n v="9000"/>
    <n v="8.0336030188679235"/>
  </r>
  <r>
    <x v="81"/>
    <s v="Marketing"/>
    <s v="Content Writer"/>
    <d v="5304-01-14T00:00:00"/>
    <n v="124"/>
    <n v="7.75"/>
    <n v="9"/>
    <n v="7.2580645161290329"/>
    <n v="7.754032258064516"/>
    <s v="Good"/>
    <n v="6000"/>
    <n v="7.7548622580645157"/>
  </r>
  <r>
    <x v="82"/>
    <s v="Marketing"/>
    <s v="Social Media Manager"/>
    <d v="2024-05-31T00:00:00"/>
    <n v="138"/>
    <n v="8.625"/>
    <n v="7"/>
    <n v="5.0724637681159424"/>
    <n v="6.5237318840579714"/>
    <s v="Good"/>
    <n v="6000"/>
    <n v="6.5245718840579716"/>
  </r>
  <r>
    <x v="83"/>
    <s v="Marketing"/>
    <s v="Product Manager"/>
    <d v="2024-07-08T00:00:00"/>
    <n v="157"/>
    <n v="9.8125"/>
    <n v="10"/>
    <n v="6.369426751592357"/>
    <n v="8.1284633757961782"/>
    <s v="Excellent"/>
    <n v="9000"/>
    <n v="8.129313375796178"/>
  </r>
  <r>
    <x v="84"/>
    <s v="Marketing"/>
    <s v="Marketing Coordinator"/>
    <d v="2024-07-12T00:00:00"/>
    <n v="105"/>
    <n v="6.5625"/>
    <n v="9"/>
    <n v="8.5714285714285712"/>
    <n v="8.0544642857142854"/>
    <s v="Excellent"/>
    <n v="9000"/>
    <n v="8.0553242857142848"/>
  </r>
  <r>
    <x v="85"/>
    <s v="Marketing"/>
    <s v="Content Writer"/>
    <d v="2024-07-30T00:00:00"/>
    <n v="144"/>
    <n v="9"/>
    <n v="6"/>
    <n v="4.1666666666666661"/>
    <n v="5.9833333333333334"/>
    <s v="Needs Improvement"/>
    <n v="4000"/>
    <n v="5.9842033333333333"/>
  </r>
  <r>
    <x v="86"/>
    <s v="Marketing"/>
    <s v="Social Media Manager"/>
    <d v="2024-09-06T00:00:00"/>
    <n v="106"/>
    <n v="6.625"/>
    <n v="7"/>
    <n v="6.6037735849056602"/>
    <n v="6.6893867924528303"/>
    <s v="Good"/>
    <n v="6000"/>
    <n v="6.6902667924528307"/>
  </r>
  <r>
    <x v="87"/>
    <s v="Marketing"/>
    <s v="Product Manager"/>
    <d v="2024-10-10T00:00:00"/>
    <n v="114"/>
    <n v="7.125"/>
    <n v="5"/>
    <n v="4.3859649122807012"/>
    <n v="5.3304824561403503"/>
    <s v="Needs Improvement"/>
    <n v="4000"/>
    <n v="5.3313724561403504"/>
  </r>
  <r>
    <x v="88"/>
    <s v="Marketing"/>
    <s v="Marketing Coordinator"/>
    <d v="2024-10-18T00:00:00"/>
    <n v="135"/>
    <n v="8.4375"/>
    <n v="7"/>
    <n v="5.1851851851851851"/>
    <n v="6.5238425925925929"/>
    <s v="Good"/>
    <n v="6000"/>
    <n v="6.5247425925925926"/>
  </r>
  <r>
    <x v="89"/>
    <s v="Marketing"/>
    <s v="Content Writer"/>
    <d v="2024-10-28T00:00:00"/>
    <n v="144"/>
    <n v="9"/>
    <n v="9"/>
    <n v="6.25"/>
    <n v="7.6249999999999991"/>
    <s v="Good"/>
    <n v="6000"/>
    <n v="7.6259099999999993"/>
  </r>
  <r>
    <x v="90"/>
    <s v="IT"/>
    <s v="Software Developer"/>
    <d v="2024-12-03T00:00:00"/>
    <n v="102"/>
    <n v="6.375"/>
    <n v="8"/>
    <n v="7.8431372549019605"/>
    <n v="7.43406862745098"/>
    <s v="Good"/>
    <n v="6000"/>
    <n v="7.4349886274509798"/>
  </r>
  <r>
    <x v="91"/>
    <s v="IT"/>
    <s v="IT Support Technician"/>
    <d v="2025-01-07T00:00:00"/>
    <n v="121"/>
    <n v="7.5625"/>
    <n v="5"/>
    <n v="4.1322314049586781"/>
    <n v="5.3348657024793393"/>
    <s v="Needs Improvement"/>
    <n v="4000"/>
    <n v="5.3357957024793397"/>
  </r>
  <r>
    <x v="92"/>
    <s v="IT"/>
    <s v="Database Administrator"/>
    <d v="2025-01-29T00:00:00"/>
    <n v="120"/>
    <n v="7.5"/>
    <n v="10"/>
    <n v="8.3333333333333321"/>
    <n v="8.4166666666666661"/>
    <s v="Excellent"/>
    <n v="9000"/>
    <n v="8.417606666666666"/>
  </r>
  <r>
    <x v="93"/>
    <s v="IT"/>
    <s v="Quality Assurance Tester"/>
    <d v="2025-02-04T00:00:00"/>
    <n v="153"/>
    <n v="9.5625"/>
    <n v="5"/>
    <n v="3.2679738562091507"/>
    <n v="5.502736928104575"/>
    <s v="Needs Improvement"/>
    <n v="4000"/>
    <n v="5.5036869281045746"/>
  </r>
  <r>
    <x v="94"/>
    <s v="IT"/>
    <s v="Graphic Designer"/>
    <d v="2025-02-10T00:00:00"/>
    <n v="125"/>
    <n v="7.8125"/>
    <n v="8"/>
    <n v="6.4"/>
    <n v="7.1437500000000007"/>
    <s v="Good"/>
    <n v="6000"/>
    <n v="7.1447100000000008"/>
  </r>
  <r>
    <x v="95"/>
    <s v="IT"/>
    <s v="Software Developer"/>
    <d v="2025-02-19T00:00:00"/>
    <n v="114"/>
    <n v="7.125"/>
    <n v="8"/>
    <n v="7.0175438596491224"/>
    <n v="7.2462719298245606"/>
    <s v="Good"/>
    <n v="6000"/>
    <n v="7.2472419298245603"/>
  </r>
  <r>
    <x v="96"/>
    <s v="IT"/>
    <s v="IT Support Technician"/>
    <d v="2025-03-18T00:00:00"/>
    <n v="137"/>
    <n v="8.5625"/>
    <n v="8"/>
    <n v="5.8394160583941606"/>
    <n v="7.0884580291970796"/>
    <s v="Good"/>
    <n v="6000"/>
    <n v="7.0894380291970798"/>
  </r>
  <r>
    <x v="97"/>
    <s v="IT"/>
    <s v="Database Administrator"/>
    <d v="2025-03-20T00:00:00"/>
    <n v="146"/>
    <n v="9.125"/>
    <n v="5"/>
    <n v="3.4246575342465753"/>
    <n v="5.4498287671232877"/>
    <s v="Needs Improvement"/>
    <n v="4000"/>
    <n v="5.4508187671232875"/>
  </r>
  <r>
    <x v="98"/>
    <s v="IT"/>
    <s v="Quality Assurance Tester"/>
    <d v="2025-03-27T00:00:00"/>
    <n v="108"/>
    <n v="6.75"/>
    <n v="9"/>
    <n v="8.3333333333333321"/>
    <n v="7.9916666666666663"/>
    <s v="Good"/>
    <n v="6000"/>
    <n v="7.9926666666666666"/>
  </r>
  <r>
    <x v="99"/>
    <s v="IT"/>
    <s v="Graphic Designer"/>
    <d v="2025-03-31T00:00:00"/>
    <n v="124"/>
    <n v="7.75"/>
    <n v="10"/>
    <n v="8.064516129032258"/>
    <n v="8.3572580645161292"/>
    <s v="Excellent"/>
    <n v="9000"/>
    <n v="8.35826806451613"/>
  </r>
  <r>
    <x v="100"/>
    <s v="Finance"/>
    <s v="Financial Analyst"/>
    <d v="2023-04-26T00:00:00"/>
    <n v="155"/>
    <n v="9.6875"/>
    <n v="8"/>
    <n v="5.161290322580645"/>
    <n v="7.0868951612903217"/>
    <s v="Good"/>
    <n v="6000"/>
    <n v="7.0879151612903213"/>
  </r>
  <r>
    <x v="101"/>
    <s v="Finance"/>
    <s v="Business Analyst"/>
    <d v="2023-05-02T00:00:00"/>
    <n v="130"/>
    <n v="8.125"/>
    <n v="9"/>
    <n v="6.9230769230769234"/>
    <n v="7.6990384615384615"/>
    <s v="Good"/>
    <n v="6000"/>
    <n v="7.7000684615384616"/>
  </r>
  <r>
    <x v="102"/>
    <s v="Finance"/>
    <s v="Accountant"/>
    <d v="2023-05-04T00:00:00"/>
    <n v="119"/>
    <n v="7.4375"/>
    <n v="10"/>
    <n v="8.4033613445378155"/>
    <n v="8.4329306722689079"/>
    <s v="Excellent"/>
    <n v="9000"/>
    <n v="8.4339706722689076"/>
  </r>
  <r>
    <x v="103"/>
    <s v="Marketing"/>
    <s v="Marketing Coordinator"/>
    <d v="2023-05-18T00:00:00"/>
    <n v="106"/>
    <n v="6.625"/>
    <n v="7"/>
    <n v="6.6037735849056602"/>
    <n v="6.6893867924528303"/>
    <s v="Good"/>
    <n v="6000"/>
    <n v="6.6904367924528305"/>
  </r>
  <r>
    <x v="104"/>
    <s v="Marketing"/>
    <s v="Content Writer"/>
    <d v="2023-08-04T00:00:00"/>
    <n v="110"/>
    <n v="6.875"/>
    <n v="10"/>
    <n v="9.0909090909090917"/>
    <n v="8.6079545454545467"/>
    <s v="Excellent"/>
    <n v="9000"/>
    <n v="8.6090145454545475"/>
  </r>
  <r>
    <x v="105"/>
    <s v="Marketing"/>
    <s v="Social Media Manager"/>
    <d v="2023-10-10T00:00:00"/>
    <n v="142"/>
    <n v="8.875"/>
    <n v="6"/>
    <n v="4.225352112676056"/>
    <n v="5.9751760563380278"/>
    <s v="Needs Improvement"/>
    <n v="4000"/>
    <n v="5.9762460563380282"/>
  </r>
  <r>
    <x v="106"/>
    <s v="Marketing"/>
    <s v="Product Manager"/>
    <d v="2023-10-24T00:00:00"/>
    <n v="153"/>
    <n v="9.5625"/>
    <n v="9"/>
    <n v="5.8823529411764701"/>
    <n v="7.6099264705882348"/>
    <s v="Good"/>
    <n v="6000"/>
    <n v="7.6110064705882348"/>
  </r>
  <r>
    <x v="107"/>
    <s v="Marketing"/>
    <s v="Marketing Coordinator"/>
    <d v="2023-11-07T00:00:00"/>
    <n v="100"/>
    <n v="6.25"/>
    <n v="10"/>
    <n v="10"/>
    <n v="8.875"/>
    <s v="Excellent"/>
    <n v="9000"/>
    <n v="8.8760899999999996"/>
  </r>
  <r>
    <x v="108"/>
    <s v="Marketing"/>
    <s v="Content Writer"/>
    <d v="2023-12-29T00:00:00"/>
    <n v="121"/>
    <n v="7.5625"/>
    <n v="5"/>
    <n v="4.1322314049586781"/>
    <n v="5.3348657024793393"/>
    <s v="Needs Improvement"/>
    <n v="4000"/>
    <n v="5.3359657024793394"/>
  </r>
  <r>
    <x v="109"/>
    <s v="Marketing"/>
    <s v="Social Media Manager"/>
    <d v="2024-02-27T00:00:00"/>
    <n v="114"/>
    <n v="7.125"/>
    <n v="6"/>
    <n v="5.2631578947368416"/>
    <n v="5.9690789473684207"/>
    <s v="Needs Improvement"/>
    <n v="4000"/>
    <n v="5.9701889473684204"/>
  </r>
  <r>
    <x v="110"/>
    <s v="Marketing"/>
    <s v="Product Manager"/>
    <d v="2024-05-21T00:00:00"/>
    <n v="106"/>
    <n v="6.625"/>
    <n v="10"/>
    <n v="9.433962264150944"/>
    <n v="8.7044811320754718"/>
    <s v="Excellent"/>
    <n v="9000"/>
    <n v="8.705601132075472"/>
  </r>
  <r>
    <x v="111"/>
    <s v="Marketing"/>
    <s v="Marketing Coordinator"/>
    <d v="2024-08-14T00:00:00"/>
    <n v="160"/>
    <n v="10"/>
    <n v="5"/>
    <n v="3.125"/>
    <n v="5.5625"/>
    <s v="Needs Improvement"/>
    <n v="4000"/>
    <n v="5.5636299999999999"/>
  </r>
  <r>
    <x v="112"/>
    <s v="Marketing"/>
    <s v="Content Writer"/>
    <d v="2024-08-26T00:00:00"/>
    <n v="139"/>
    <n v="8.6875"/>
    <n v="10"/>
    <n v="7.1942446043165464"/>
    <n v="8.2033723021582734"/>
    <s v="Excellent"/>
    <n v="9000"/>
    <n v="8.2045123021582729"/>
  </r>
  <r>
    <x v="113"/>
    <s v="IT"/>
    <s v="Software Developer"/>
    <d v="2024-09-16T00:00:00"/>
    <n v="144"/>
    <n v="9"/>
    <n v="6"/>
    <n v="4.1666666666666661"/>
    <n v="5.9833333333333334"/>
    <s v="Needs Improvement"/>
    <n v="4000"/>
    <n v="5.9844833333333334"/>
  </r>
  <r>
    <x v="114"/>
    <s v="IT"/>
    <s v="IT Support Technician"/>
    <d v="2024-10-04T00:00:00"/>
    <n v="101"/>
    <n v="6.3125"/>
    <n v="9"/>
    <n v="8.9108910891089099"/>
    <n v="8.1491955445544555"/>
    <s v="Excellent"/>
    <n v="9000"/>
    <n v="8.150355544554456"/>
  </r>
  <r>
    <x v="115"/>
    <s v="IT"/>
    <s v="Database Administrator"/>
    <d v="2024-11-11T00:00:00"/>
    <n v="107"/>
    <n v="6.6875"/>
    <n v="7"/>
    <n v="6.5420560747663545"/>
    <n v="6.6772780373831777"/>
    <s v="Good"/>
    <n v="6000"/>
    <n v="6.6784480373831778"/>
  </r>
  <r>
    <x v="116"/>
    <s v="IT"/>
    <s v="Quality Assurance Tester"/>
    <d v="2025-02-27T00:00:00"/>
    <n v="120"/>
    <n v="7.5"/>
    <n v="9"/>
    <n v="7.5"/>
    <n v="7.8"/>
    <s v="Good"/>
    <n v="6000"/>
    <n v="7.8011799999999996"/>
  </r>
  <r>
    <x v="117"/>
    <s v="IT"/>
    <s v="Graphic Designer"/>
    <d v="2025-03-26T00:00:00"/>
    <n v="111"/>
    <n v="6.9375"/>
    <n v="10"/>
    <n v="9.0090090090090094"/>
    <n v="8.5857545045045036"/>
    <s v="Excellent"/>
    <n v="9000"/>
    <n v="8.586944504504503"/>
  </r>
  <r>
    <x v="118"/>
    <s v="IT"/>
    <s v="Software Developer"/>
    <d v="2025-07-30T00:00:00"/>
    <n v="147"/>
    <n v="9.1875"/>
    <n v="9"/>
    <n v="6.1224489795918364"/>
    <n v="7.6174744897959181"/>
    <s v="Good"/>
    <n v="6000"/>
    <n v="7.618674489795918"/>
  </r>
  <r>
    <x v="119"/>
    <s v="IT"/>
    <s v="IT Support Technician"/>
    <d v="2025-12-03T00:00:00"/>
    <n v="130"/>
    <n v="8.125"/>
    <n v="9"/>
    <n v="6.9230769230769234"/>
    <n v="7.6990384615384615"/>
    <s v="Good"/>
    <n v="6000"/>
    <n v="7.7002484615384619"/>
  </r>
  <r>
    <x v="120"/>
    <s v="IT"/>
    <s v="Database Administrator"/>
    <d v="2025-12-17T00:00:00"/>
    <n v="140"/>
    <n v="8.75"/>
    <n v="7"/>
    <n v="5"/>
    <n v="6.5250000000000004"/>
    <s v="Good"/>
    <n v="6000"/>
    <n v="6.5262200000000004"/>
  </r>
  <r>
    <x v="121"/>
    <s v="IT"/>
    <s v="Quality Assurance Tester"/>
    <d v="2026-01-09T00:00:00"/>
    <n v="101"/>
    <n v="6.3125"/>
    <n v="5"/>
    <n v="4.9504950495049505"/>
    <n v="5.3689975247524746"/>
    <s v="Needs Improvement"/>
    <n v="4000"/>
    <n v="5.3702275247524742"/>
  </r>
  <r>
    <x v="122"/>
    <s v="IT"/>
    <s v="Graphic Designer"/>
    <d v="2026-01-13T00:00:00"/>
    <n v="142"/>
    <n v="8.875"/>
    <n v="9"/>
    <n v="6.3380281690140841"/>
    <n v="7.6315140845070415"/>
    <s v="Good"/>
    <n v="6000"/>
    <n v="7.6327540845070416"/>
  </r>
  <r>
    <x v="123"/>
    <s v="Human Resources"/>
    <s v="HR Specialist"/>
    <d v="2026-02-05T00:00:00"/>
    <n v="109"/>
    <n v="6.8125"/>
    <n v="5"/>
    <n v="4.5871559633027523"/>
    <n v="5.3373279816513755"/>
    <s v="Needs Improvement"/>
    <n v="4000"/>
    <n v="5.3385779816513752"/>
  </r>
  <r>
    <x v="124"/>
    <s v="Human Resources"/>
    <s v="Recruiter"/>
    <d v="2026-02-06T00:00:00"/>
    <n v="127"/>
    <n v="7.9375"/>
    <n v="10"/>
    <n v="7.8740157480314963"/>
    <n v="8.3182578740157478"/>
    <s v="Excellent"/>
    <n v="9000"/>
    <n v="8.319517874015748"/>
  </r>
  <r>
    <x v="125"/>
    <s v="Human Resources"/>
    <s v="Office Administrator"/>
    <d v="2024-03-12T00:00:00"/>
    <n v="131"/>
    <n v="8.1875"/>
    <n v="5"/>
    <n v="3.8167938931297711"/>
    <n v="5.3646469465648856"/>
    <s v="Needs Improvement"/>
    <n v="4000"/>
    <n v="5.3659169465648855"/>
  </r>
  <r>
    <x v="126"/>
    <s v="Human Resources"/>
    <s v="HR Specialist"/>
    <d v="2024-04-11T00:00:00"/>
    <n v="152"/>
    <n v="9.5"/>
    <n v="8"/>
    <n v="5.2631578947368416"/>
    <n v="7.0815789473684205"/>
    <s v="Good"/>
    <n v="6000"/>
    <n v="7.0828589473684209"/>
  </r>
  <r>
    <x v="127"/>
    <s v="Human Resources"/>
    <s v="Recruiter"/>
    <d v="2024-04-22T00:00:00"/>
    <n v="148"/>
    <n v="9.25"/>
    <n v="7"/>
    <n v="4.7297297297297298"/>
    <n v="6.5398648648648656"/>
    <s v="Good"/>
    <n v="6000"/>
    <n v="6.5411548648648656"/>
  </r>
  <r>
    <x v="128"/>
    <s v="Human Resources"/>
    <s v="Office Administrator"/>
    <d v="2024-05-02T00:00:00"/>
    <n v="133"/>
    <n v="8.3125"/>
    <n v="5"/>
    <n v="3.7593984962406015"/>
    <n v="5.3734492481203002"/>
    <s v="Needs Improvement"/>
    <n v="4000"/>
    <n v="5.3747492481202999"/>
  </r>
  <r>
    <x v="129"/>
    <s v="Human Resources"/>
    <s v="HR Specialist"/>
    <d v="2024-09-24T00:00:00"/>
    <n v="122"/>
    <n v="7.625"/>
    <n v="7"/>
    <n v="5.7377049180327866"/>
    <n v="6.5563524590163933"/>
    <s v="Good"/>
    <n v="6000"/>
    <n v="6.5576624590163934"/>
  </r>
  <r>
    <x v="130"/>
    <s v="Human Resources"/>
    <s v="Recruiter"/>
    <d v="2024-10-16T00:00:00"/>
    <n v="120"/>
    <n v="7.5"/>
    <n v="6"/>
    <n v="5"/>
    <n v="5.95"/>
    <s v="Needs Improvement"/>
    <n v="4000"/>
    <n v="5.9513199999999999"/>
  </r>
  <r>
    <x v="131"/>
    <s v="Human Resources"/>
    <s v="Office Administrator"/>
    <d v="2024-12-12T00:00:00"/>
    <n v="125"/>
    <n v="7.8125"/>
    <n v="5"/>
    <n v="4"/>
    <n v="5.34375"/>
    <s v="Needs Improvement"/>
    <n v="4000"/>
    <n v="5.3450800000000003"/>
  </r>
  <r>
    <x v="132"/>
    <s v="Human Resources"/>
    <s v="HR Specialist"/>
    <d v="2025-01-01T00:00:00"/>
    <n v="107"/>
    <n v="6.6875"/>
    <n v="6"/>
    <n v="5.6074766355140184"/>
    <n v="6.009988317757009"/>
    <s v="Good"/>
    <n v="6000"/>
    <n v="6.0113283177570089"/>
  </r>
  <r>
    <x v="133"/>
    <s v="Sales"/>
    <s v="Sales Executive"/>
    <d v="2025-01-15T00:00:00"/>
    <n v="105"/>
    <n v="6.5625"/>
    <n v="9"/>
    <n v="8.5714285714285712"/>
    <n v="8.0544642857142854"/>
    <s v="Excellent"/>
    <n v="9000"/>
    <n v="8.0558142857142858"/>
  </r>
  <r>
    <x v="134"/>
    <s v="Sales"/>
    <s v="Customer Support Representative"/>
    <d v="2025-03-05T00:00:00"/>
    <n v="132"/>
    <n v="8.25"/>
    <n v="5"/>
    <n v="3.7878787878787881"/>
    <n v="5.3689393939393941"/>
    <s v="Needs Improvement"/>
    <n v="4000"/>
    <n v="5.3702993939393942"/>
  </r>
  <r>
    <x v="135"/>
    <s v="Sales"/>
    <s v="Account Manager"/>
    <d v="2025-03-06T00:00:00"/>
    <n v="136"/>
    <n v="8.5"/>
    <n v="6"/>
    <n v="4.4117647058823533"/>
    <n v="5.9558823529411766"/>
    <s v="Needs Improvement"/>
    <n v="4000"/>
    <n v="5.9572523529411763"/>
  </r>
  <r>
    <x v="136"/>
    <s v="Sales"/>
    <s v="Sales Executive"/>
    <d v="2025-03-11T00:00:00"/>
    <n v="121"/>
    <n v="7.5625"/>
    <n v="8"/>
    <n v="6.6115702479338845"/>
    <n v="7.1745351239669422"/>
    <s v="Good"/>
    <n v="6000"/>
    <n v="7.1759151239669423"/>
  </r>
  <r>
    <x v="137"/>
    <s v="Sales"/>
    <s v="Customer Support Representative"/>
    <d v="2025-03-27T00:00:00"/>
    <n v="150"/>
    <n v="9.375"/>
    <n v="10"/>
    <n v="6.666666666666667"/>
    <n v="8.1458333333333339"/>
    <s v="Excellent"/>
    <n v="9000"/>
    <n v="8.1472233333333346"/>
  </r>
  <r>
    <x v="138"/>
    <s v="Sales"/>
    <s v="Account Manager"/>
    <d v="2025-06-02T00:00:00"/>
    <n v="129"/>
    <n v="8.0625"/>
    <n v="9"/>
    <n v="6.9767441860465116"/>
    <n v="7.7071220930232558"/>
    <s v="Good"/>
    <n v="6000"/>
    <n v="7.7085220930232561"/>
  </r>
  <r>
    <x v="139"/>
    <s v="Sales"/>
    <s v="Sales Executive"/>
    <d v="2025-06-11T00:00:00"/>
    <n v="119"/>
    <n v="7.4375"/>
    <n v="10"/>
    <n v="8.4033613445378155"/>
    <n v="8.4329306722689079"/>
    <s v="Excellent"/>
    <n v="9000"/>
    <n v="8.4343406722689078"/>
  </r>
  <r>
    <x v="140"/>
    <s v="Sales"/>
    <s v="Customer Support Representative"/>
    <d v="2025-07-14T00:00:00"/>
    <n v="113"/>
    <n v="7.0625"/>
    <n v="6"/>
    <n v="5.3097345132743365"/>
    <n v="5.9736172566371684"/>
    <s v="Needs Improvement"/>
    <n v="4000"/>
    <n v="5.9750372566371688"/>
  </r>
  <r>
    <x v="141"/>
    <s v="Sales"/>
    <s v="Account Manager"/>
    <d v="2025-08-14T00:00:00"/>
    <n v="158"/>
    <n v="9.875"/>
    <n v="7"/>
    <n v="4.4303797468354427"/>
    <n v="6.5776898734177216"/>
    <s v="Good"/>
    <n v="6000"/>
    <n v="6.5791198734177216"/>
  </r>
  <r>
    <x v="142"/>
    <s v="Sales"/>
    <s v="Sales Executive"/>
    <d v="2025-08-26T00:00:00"/>
    <n v="127"/>
    <n v="7.9375"/>
    <n v="8"/>
    <n v="6.2992125984251963"/>
    <n v="7.1308562992125974"/>
    <s v="Good"/>
    <n v="6000"/>
    <n v="7.1322962992125971"/>
  </r>
  <r>
    <x v="143"/>
    <s v="Finance"/>
    <s v="Accountant"/>
    <d v="2025-11-26T00:00:00"/>
    <n v="146"/>
    <n v="9.125"/>
    <n v="8"/>
    <n v="5.4794520547945202"/>
    <n v="7.0772260273972591"/>
    <s v="Good"/>
    <n v="6000"/>
    <n v="7.0786760273972593"/>
  </r>
  <r>
    <x v="144"/>
    <s v="Finance"/>
    <s v="Financial Analyst"/>
    <d v="2025-12-04T00:00:00"/>
    <n v="138"/>
    <n v="8.625"/>
    <n v="8"/>
    <n v="5.7971014492753623"/>
    <n v="7.0860507246376816"/>
    <s v="Good"/>
    <n v="6000"/>
    <n v="7.0875107246376814"/>
  </r>
  <r>
    <x v="145"/>
    <s v="Finance"/>
    <s v="Business Analyst"/>
    <d v="2026-01-15T00:00:00"/>
    <n v="144"/>
    <n v="9"/>
    <n v="7"/>
    <n v="4.8611111111111116"/>
    <n v="6.5305555555555559"/>
    <s v="Good"/>
    <n v="6000"/>
    <n v="6.5320255555555562"/>
  </r>
  <r>
    <x v="146"/>
    <s v="Finance"/>
    <s v="Accountant"/>
    <d v="2026-02-23T00:00:00"/>
    <n v="136"/>
    <n v="8.5"/>
    <n v="5"/>
    <n v="3.6764705882352944"/>
    <n v="5.3882352941176475"/>
    <s v="Needs Improvement"/>
    <n v="4000"/>
    <n v="5.3897152941176474"/>
  </r>
  <r>
    <x v="147"/>
    <s v="Finance"/>
    <s v="Financial Analyst"/>
    <d v="2026-03-10T00:00:00"/>
    <n v="108"/>
    <n v="6.75"/>
    <n v="9"/>
    <n v="8.3333333333333321"/>
    <n v="7.9916666666666663"/>
    <s v="Good"/>
    <n v="6000"/>
    <n v="7.9931566666666667"/>
  </r>
  <r>
    <x v="148"/>
    <s v="Finance"/>
    <s v="Business Analyst"/>
    <d v="2026-03-20T00:00:00"/>
    <n v="157"/>
    <n v="9.8125"/>
    <n v="6"/>
    <n v="3.8216560509554141"/>
    <n v="6.0545780254777073"/>
    <s v="Good"/>
    <n v="6000"/>
    <n v="6.0560780254777073"/>
  </r>
  <r>
    <x v="149"/>
    <s v="Finance"/>
    <s v="Accountant"/>
    <d v="2026-03-30T00:00:00"/>
    <n v="126"/>
    <n v="7.875"/>
    <n v="10"/>
    <n v="7.9365079365079358"/>
    <n v="8.3307539682539673"/>
    <s v="Excellent"/>
    <n v="9000"/>
    <n v="8.332263968253967"/>
  </r>
  <r>
    <x v="150"/>
    <s v="Finance"/>
    <s v="Financial Analyst"/>
    <d v="2022-03-09T00:00:00"/>
    <n v="140"/>
    <n v="8.75"/>
    <n v="10"/>
    <n v="7.1428571428571423"/>
    <n v="8.1964285714285712"/>
    <s v="Excellent"/>
    <n v="9000"/>
    <n v="8.1979485714285705"/>
  </r>
  <r>
    <x v="151"/>
    <s v="Finance"/>
    <s v="Business Analyst"/>
    <d v="2022-03-14T00:00:00"/>
    <n v="149"/>
    <n v="9.3125"/>
    <n v="6"/>
    <n v="4.0268456375838921"/>
    <n v="6.007172818791946"/>
    <s v="Good"/>
    <n v="6000"/>
    <n v="6.0087028187919458"/>
  </r>
  <r>
    <x v="152"/>
    <s v="Finance"/>
    <s v="Accountant"/>
    <d v="2022-04-11T00:00:00"/>
    <n v="136"/>
    <n v="8.5"/>
    <n v="7"/>
    <n v="5.1470588235294112"/>
    <n v="6.5235294117647058"/>
    <s v="Good"/>
    <n v="6000"/>
    <n v="6.5250694117647061"/>
  </r>
  <r>
    <x v="153"/>
    <s v="Marketing"/>
    <s v="Marketing Coordinator"/>
    <d v="2022-04-13T00:00:00"/>
    <n v="145"/>
    <n v="9.0625"/>
    <n v="6"/>
    <n v="4.1379310344827589"/>
    <n v="5.9877155172413792"/>
    <s v="Needs Improvement"/>
    <n v="4000"/>
    <n v="5.9892655172413791"/>
  </r>
  <r>
    <x v="154"/>
    <s v="Marketing"/>
    <s v="Content Writer"/>
    <d v="2022-04-26T00:00:00"/>
    <n v="119"/>
    <n v="7.4375"/>
    <n v="9"/>
    <n v="7.5630252100840334"/>
    <n v="7.8127626050420167"/>
    <s v="Good"/>
    <n v="6000"/>
    <n v="7.8143226050420163"/>
  </r>
  <r>
    <x v="155"/>
    <s v="Marketing"/>
    <s v="Social Media Manager"/>
    <d v="2022-04-28T00:00:00"/>
    <n v="156"/>
    <n v="9.75"/>
    <n v="9"/>
    <n v="5.7692307692307692"/>
    <n v="7.6096153846153838"/>
    <s v="Good"/>
    <n v="6000"/>
    <n v="7.6111853846153839"/>
  </r>
  <r>
    <x v="156"/>
    <s v="Marketing"/>
    <s v="Product Manager"/>
    <d v="2022-05-02T00:00:00"/>
    <n v="112"/>
    <n v="7"/>
    <n v="8"/>
    <n v="7.1428571428571423"/>
    <n v="7.2714285714285705"/>
    <s v="Good"/>
    <n v="6000"/>
    <n v="7.2730085714285702"/>
  </r>
  <r>
    <x v="157"/>
    <s v="Marketing"/>
    <s v="Marketing Coordinator"/>
    <d v="2022-05-09T00:00:00"/>
    <n v="124"/>
    <n v="7.75"/>
    <n v="7"/>
    <n v="5.6451612903225801"/>
    <n v="6.5475806451612897"/>
    <s v="Good"/>
    <n v="6000"/>
    <n v="6.5491706451612899"/>
  </r>
  <r>
    <x v="158"/>
    <s v="Marketing"/>
    <s v="Content Writer"/>
    <d v="2022-05-30T00:00:00"/>
    <n v="153"/>
    <n v="9.5625"/>
    <n v="8"/>
    <n v="5.2287581699346406"/>
    <n v="7.0831290849673199"/>
    <s v="Good"/>
    <n v="6000"/>
    <n v="7.0847290849673197"/>
  </r>
  <r>
    <x v="159"/>
    <s v="Marketing"/>
    <s v="Social Media Manager"/>
    <d v="2022-06-23T00:00:00"/>
    <n v="108"/>
    <n v="6.75"/>
    <n v="10"/>
    <n v="9.2592592592592595"/>
    <n v="8.6546296296296301"/>
    <s v="Excellent"/>
    <n v="9000"/>
    <n v="8.6562396296296296"/>
  </r>
  <r>
    <x v="160"/>
    <s v="Marketing"/>
    <s v="Product Manager"/>
    <d v="2022-07-20T00:00:00"/>
    <n v="157"/>
    <n v="9.8125"/>
    <n v="8"/>
    <n v="5.095541401273886"/>
    <n v="7.0915207006369432"/>
    <s v="Good"/>
    <n v="6000"/>
    <n v="7.0931407006369431"/>
  </r>
  <r>
    <x v="161"/>
    <s v="Marketing"/>
    <s v="Marketing Coordinator"/>
    <d v="2022-08-15T00:00:00"/>
    <n v="108"/>
    <n v="6.75"/>
    <n v="10"/>
    <n v="9.2592592592592595"/>
    <n v="8.6546296296296301"/>
    <s v="Excellent"/>
    <n v="9000"/>
    <n v="8.6562596296296306"/>
  </r>
  <r>
    <x v="162"/>
    <s v="Marketing"/>
    <s v="Content Writer"/>
    <d v="2022-08-17T00:00:00"/>
    <n v="125"/>
    <n v="7.8125"/>
    <n v="6"/>
    <n v="4.8"/>
    <n v="5.9437500000000005"/>
    <s v="Needs Improvement"/>
    <n v="4000"/>
    <n v="5.9453900000000006"/>
  </r>
  <r>
    <x v="163"/>
    <s v="IT"/>
    <s v="Software Developer"/>
    <d v="2022-09-08T00:00:00"/>
    <n v="154"/>
    <n v="9.625"/>
    <n v="8"/>
    <n v="5.1948051948051948"/>
    <n v="7.0849025974025963"/>
    <s v="Good"/>
    <n v="6000"/>
    <n v="7.086552597402596"/>
  </r>
  <r>
    <x v="164"/>
    <s v="IT"/>
    <s v="IT Support Technician"/>
    <d v="2022-09-14T00:00:00"/>
    <n v="116"/>
    <n v="7.25"/>
    <n v="6"/>
    <n v="5.1724137931034484"/>
    <n v="5.9612068965517242"/>
    <s v="Needs Improvement"/>
    <n v="4000"/>
    <n v="5.9628668965517244"/>
  </r>
  <r>
    <x v="165"/>
    <s v="IT"/>
    <s v="Database Administrator"/>
    <d v="2022-09-20T00:00:00"/>
    <n v="149"/>
    <n v="9.3125"/>
    <n v="5"/>
    <n v="3.3557046979865772"/>
    <n v="5.4716023489932883"/>
    <s v="Needs Improvement"/>
    <n v="4000"/>
    <n v="5.4732723489932882"/>
  </r>
  <r>
    <x v="166"/>
    <s v="IT"/>
    <s v="Quality Assurance Tester"/>
    <d v="2022-10-07T00:00:00"/>
    <n v="132"/>
    <n v="8.25"/>
    <n v="7"/>
    <n v="5.3030303030303028"/>
    <n v="6.5265151515151523"/>
    <s v="Good"/>
    <n v="6000"/>
    <n v="6.5281951515151526"/>
  </r>
  <r>
    <x v="167"/>
    <s v="IT"/>
    <s v="Graphic Designer"/>
    <d v="2022-10-14T00:00:00"/>
    <n v="153"/>
    <n v="9.5625"/>
    <n v="6"/>
    <n v="3.9215686274509802"/>
    <n v="6.02953431372549"/>
    <s v="Good"/>
    <n v="6000"/>
    <n v="6.0312243137254899"/>
  </r>
  <r>
    <x v="168"/>
    <s v="IT"/>
    <s v="Software Developer"/>
    <d v="2022-10-19T00:00:00"/>
    <n v="112"/>
    <n v="7"/>
    <n v="5"/>
    <n v="4.4642857142857144"/>
    <n v="5.3321428571428573"/>
    <s v="Needs Improvement"/>
    <n v="4000"/>
    <n v="5.3338428571428569"/>
  </r>
  <r>
    <x v="169"/>
    <s v="IT"/>
    <s v="IT Support Technician"/>
    <d v="2022-10-21T00:00:00"/>
    <n v="114"/>
    <n v="7.125"/>
    <n v="5"/>
    <n v="4.3859649122807012"/>
    <n v="5.3304824561403503"/>
    <s v="Needs Improvement"/>
    <n v="4000"/>
    <n v="5.3321924561403504"/>
  </r>
  <r>
    <x v="170"/>
    <s v="IT"/>
    <s v="Database Administrator"/>
    <d v="2022-10-28T00:00:00"/>
    <n v="118"/>
    <n v="7.375"/>
    <n v="8"/>
    <n v="6.7796610169491522"/>
    <n v="7.2023305084745761"/>
    <s v="Good"/>
    <n v="6000"/>
    <n v="7.2040505084745758"/>
  </r>
  <r>
    <x v="171"/>
    <s v="IT"/>
    <s v="Quality Assurance Tester"/>
    <d v="2023-01-10T00:00:00"/>
    <n v="123"/>
    <n v="7.6875"/>
    <n v="10"/>
    <n v="8.1300813008130071"/>
    <n v="8.3712906504065039"/>
    <s v="Excellent"/>
    <n v="9000"/>
    <n v="8.3730206504065041"/>
  </r>
  <r>
    <x v="172"/>
    <s v="IT"/>
    <s v="Graphic Designer"/>
    <d v="2023-01-31T00:00:00"/>
    <n v="139"/>
    <n v="8.6875"/>
    <n v="9"/>
    <n v="6.4748201438848918"/>
    <n v="7.6436600719424455"/>
    <s v="Good"/>
    <n v="6000"/>
    <n v="7.6454000719424453"/>
  </r>
  <r>
    <x v="173"/>
    <s v="Sales"/>
    <s v="Account Manager"/>
    <d v="2023-03-14T00:00:00"/>
    <n v="120"/>
    <n v="7.5"/>
    <n v="8"/>
    <n v="6.666666666666667"/>
    <n v="7.1833333333333336"/>
    <s v="Good"/>
    <n v="6000"/>
    <n v="7.1850833333333339"/>
  </r>
  <r>
    <x v="174"/>
    <s v="Sales"/>
    <s v="Sales Executive"/>
    <d v="2023-03-22T00:00:00"/>
    <n v="112"/>
    <n v="7"/>
    <n v="9"/>
    <n v="8.0357142857142865"/>
    <n v="7.9178571428571436"/>
    <s v="Good"/>
    <n v="6000"/>
    <n v="7.9196171428571436"/>
  </r>
  <r>
    <x v="175"/>
    <s v="Finance"/>
    <s v="Accountant"/>
    <d v="2024-03-06T00:00:00"/>
    <n v="129"/>
    <n v="8.0625"/>
    <n v="5"/>
    <n v="3.8759689922480618"/>
    <n v="5.3567344961240302"/>
    <s v="Needs Improvement"/>
    <n v="4000"/>
    <n v="5.3585044961240298"/>
  </r>
  <r>
    <x v="176"/>
    <s v="Finance"/>
    <s v="Financial Analyst"/>
    <d v="2024-03-13T00:00:00"/>
    <n v="147"/>
    <n v="9.1875"/>
    <n v="10"/>
    <n v="6.8027210884353746"/>
    <n v="8.1576105442176878"/>
    <s v="Excellent"/>
    <n v="9000"/>
    <n v="8.1593905442176879"/>
  </r>
  <r>
    <x v="177"/>
    <s v="Finance"/>
    <s v="Business Analyst"/>
    <d v="2024-03-18T00:00:00"/>
    <n v="121"/>
    <n v="7.5625"/>
    <n v="6"/>
    <n v="4.9586776859504136"/>
    <n v="5.9480888429752072"/>
    <s v="Needs Improvement"/>
    <n v="4000"/>
    <n v="5.949878842975207"/>
  </r>
  <r>
    <x v="178"/>
    <s v="Finance"/>
    <s v="Accountant"/>
    <d v="2024-03-28T00:00:00"/>
    <n v="147"/>
    <n v="9.1875"/>
    <n v="10"/>
    <n v="6.8027210884353746"/>
    <n v="8.1576105442176878"/>
    <s v="Excellent"/>
    <n v="9000"/>
    <n v="8.1594105442176872"/>
  </r>
  <r>
    <x v="179"/>
    <s v="Finance"/>
    <s v="Financial Analyst"/>
    <d v="2024-04-19T00:00:00"/>
    <n v="146"/>
    <n v="9.125"/>
    <n v="9"/>
    <n v="6.1643835616438354"/>
    <n v="7.6196917808219178"/>
    <s v="Good"/>
    <n v="6000"/>
    <n v="7.6215017808219176"/>
  </r>
  <r>
    <x v="180"/>
    <s v="Finance"/>
    <s v="Business Analyst"/>
    <d v="2024-04-22T00:00:00"/>
    <n v="125"/>
    <n v="7.8125"/>
    <n v="5"/>
    <n v="4"/>
    <n v="5.34375"/>
    <s v="Needs Improvement"/>
    <n v="4000"/>
    <n v="5.3455700000000004"/>
  </r>
  <r>
    <x v="181"/>
    <s v="Finance"/>
    <s v="Accountant"/>
    <d v="2024-05-01T00:00:00"/>
    <n v="122"/>
    <n v="7.625"/>
    <n v="9"/>
    <n v="7.3770491803278686"/>
    <n v="7.7760245901639342"/>
    <s v="Good"/>
    <n v="6000"/>
    <n v="7.7778545901639342"/>
  </r>
  <r>
    <x v="182"/>
    <s v="Finance"/>
    <s v="Financial Analyst"/>
    <d v="2024-05-31T00:00:00"/>
    <n v="138"/>
    <n v="8.625"/>
    <n v="6"/>
    <n v="4.3478260869565215"/>
    <n v="5.9614130434782604"/>
    <s v="Needs Improvement"/>
    <n v="4000"/>
    <n v="5.96325304347826"/>
  </r>
  <r>
    <x v="183"/>
    <s v="Finance"/>
    <s v="Business Analyst"/>
    <d v="2024-07-08T00:00:00"/>
    <n v="155"/>
    <n v="9.6875"/>
    <n v="9"/>
    <n v="5.806451612903226"/>
    <n v="7.6094758064516128"/>
    <s v="Good"/>
    <n v="6000"/>
    <n v="7.6113258064516129"/>
  </r>
  <r>
    <x v="184"/>
    <s v="Finance"/>
    <s v="Accountant"/>
    <d v="2024-07-12T00:00:00"/>
    <n v="158"/>
    <n v="9.875"/>
    <n v="5"/>
    <n v="3.1645569620253164"/>
    <n v="5.5447784810126581"/>
    <s v="Needs Improvement"/>
    <n v="4000"/>
    <n v="5.5466384810126579"/>
  </r>
  <r>
    <x v="185"/>
    <s v="Marketing"/>
    <s v="Marketing Coordinator"/>
    <d v="2024-07-30T00:00:00"/>
    <n v="157"/>
    <n v="9.8125"/>
    <n v="8"/>
    <n v="5.095541401273886"/>
    <n v="7.0915207006369432"/>
    <s v="Good"/>
    <n v="6000"/>
    <n v="7.0933907006369434"/>
  </r>
  <r>
    <x v="186"/>
    <s v="Marketing"/>
    <s v="Content Writer"/>
    <d v="2024-09-06T00:00:00"/>
    <n v="110"/>
    <n v="6.875"/>
    <n v="10"/>
    <n v="9.0909090909090917"/>
    <n v="8.6079545454545467"/>
    <s v="Excellent"/>
    <n v="9000"/>
    <n v="8.6098345454545466"/>
  </r>
  <r>
    <x v="187"/>
    <s v="Marketing"/>
    <s v="Social Media Manager"/>
    <d v="2024-10-10T00:00:00"/>
    <n v="135"/>
    <n v="8.4375"/>
    <n v="5"/>
    <n v="3.7037037037037033"/>
    <n v="5.3831018518518512"/>
    <s v="Needs Improvement"/>
    <n v="4000"/>
    <n v="5.3849918518518516"/>
  </r>
  <r>
    <x v="188"/>
    <s v="Marketing"/>
    <s v="Product Manager"/>
    <d v="2024-10-18T00:00:00"/>
    <n v="148"/>
    <n v="9.25"/>
    <n v="9"/>
    <n v="6.0810810810810816"/>
    <n v="7.6155405405405405"/>
    <s v="Good"/>
    <n v="6000"/>
    <n v="7.6174405405405405"/>
  </r>
  <r>
    <x v="189"/>
    <s v="Marketing"/>
    <s v="Marketing Coordinator"/>
    <d v="2024-10-28T00:00:00"/>
    <n v="140"/>
    <n v="8.75"/>
    <n v="10"/>
    <n v="7.1428571428571423"/>
    <n v="8.1964285714285712"/>
    <s v="Excellent"/>
    <n v="9000"/>
    <n v="8.1983385714285717"/>
  </r>
  <r>
    <x v="190"/>
    <s v="Marketing"/>
    <s v="Content Writer"/>
    <d v="2024-12-03T00:00:00"/>
    <n v="144"/>
    <n v="9"/>
    <n v="9"/>
    <n v="6.25"/>
    <n v="7.6249999999999991"/>
    <s v="Good"/>
    <n v="6000"/>
    <n v="7.6269199999999993"/>
  </r>
  <r>
    <x v="191"/>
    <s v="Marketing"/>
    <s v="Social Media Manager"/>
    <d v="2025-01-07T00:00:00"/>
    <n v="150"/>
    <n v="9.375"/>
    <n v="8"/>
    <n v="5.3333333333333339"/>
    <n v="7.0791666666666675"/>
    <s v="Good"/>
    <n v="6000"/>
    <n v="7.0810966666666673"/>
  </r>
  <r>
    <x v="192"/>
    <s v="Marketing"/>
    <s v="Product Manager"/>
    <d v="2025-01-29T00:00:00"/>
    <n v="119"/>
    <n v="7.4375"/>
    <n v="5"/>
    <n v="4.2016806722689077"/>
    <n v="5.3320903361344536"/>
    <s v="Needs Improvement"/>
    <n v="4000"/>
    <n v="5.3340303361344539"/>
  </r>
  <r>
    <x v="193"/>
    <s v="Marketing"/>
    <s v="Marketing Coordinator"/>
    <d v="2025-02-04T00:00:00"/>
    <n v="107"/>
    <n v="6.6875"/>
    <n v="6"/>
    <n v="5.6074766355140184"/>
    <n v="6.009988317757009"/>
    <s v="Good"/>
    <n v="6000"/>
    <n v="6.0119383177570089"/>
  </r>
  <r>
    <x v="194"/>
    <s v="Marketing"/>
    <s v="Content Writer"/>
    <d v="2025-02-10T00:00:00"/>
    <n v="122"/>
    <n v="7.625"/>
    <n v="6"/>
    <n v="4.918032786885246"/>
    <n v="5.9465163934426233"/>
    <s v="Needs Improvement"/>
    <n v="4000"/>
    <n v="5.9484763934426237"/>
  </r>
  <r>
    <x v="195"/>
    <s v="IT"/>
    <s v="Software Developer"/>
    <d v="2025-02-19T00:00:00"/>
    <n v="122"/>
    <n v="7.625"/>
    <n v="9"/>
    <n v="7.3770491803278686"/>
    <n v="7.7760245901639342"/>
    <s v="Good"/>
    <n v="6000"/>
    <n v="7.7779945901639342"/>
  </r>
  <r>
    <x v="196"/>
    <s v="IT"/>
    <s v="IT Support Technician"/>
    <d v="2025-03-18T00:00:00"/>
    <n v="110"/>
    <n v="6.875"/>
    <n v="6"/>
    <n v="5.4545454545454541"/>
    <n v="5.9897727272727268"/>
    <s v="Needs Improvement"/>
    <n v="4000"/>
    <n v="5.9917527272727265"/>
  </r>
  <r>
    <x v="197"/>
    <s v="IT"/>
    <s v="Database Administrator"/>
    <d v="2025-03-20T00:00:00"/>
    <n v="140"/>
    <n v="8.75"/>
    <n v="7"/>
    <n v="5"/>
    <n v="6.5250000000000004"/>
    <s v="Good"/>
    <n v="6000"/>
    <n v="6.5269900000000005"/>
  </r>
  <r>
    <x v="198"/>
    <s v="IT"/>
    <s v="Quality Assurance Tester"/>
    <d v="2025-03-27T00:00:00"/>
    <n v="101"/>
    <n v="6.3125"/>
    <n v="10"/>
    <n v="9.9009900990099009"/>
    <n v="8.8442450495049503"/>
    <s v="Excellent"/>
    <n v="9000"/>
    <n v="8.8462450495049509"/>
  </r>
  <r>
    <x v="199"/>
    <s v="IT"/>
    <s v="Graphic Designer"/>
    <d v="2025-03-31T00:00:00"/>
    <n v="105"/>
    <n v="6.5625"/>
    <n v="9"/>
    <n v="8.5714285714285712"/>
    <n v="8.0544642857142854"/>
    <s v="Excellent"/>
    <n v="9000"/>
    <n v="8.0564742857142857"/>
  </r>
  <r>
    <x v="200"/>
    <s v="IT"/>
    <s v="Software Developer"/>
    <d v="2022-05-02T00:00:00"/>
    <n v="113"/>
    <n v="7.0625"/>
    <n v="9"/>
    <n v="7.9646017699115044"/>
    <n v="7.9010508849557519"/>
    <s v="Good"/>
    <n v="6000"/>
    <n v="7.9030708849557518"/>
  </r>
  <r>
    <x v="201"/>
    <s v="IT"/>
    <s v="IT Support Technician"/>
    <d v="2022-05-09T00:00:00"/>
    <n v="157"/>
    <n v="9.8125"/>
    <n v="6"/>
    <n v="3.8216560509554141"/>
    <n v="6.0545780254777073"/>
    <s v="Good"/>
    <n v="6000"/>
    <n v="6.0566080254777077"/>
  </r>
  <r>
    <x v="202"/>
    <s v="IT"/>
    <s v="Database Administrator"/>
    <d v="2022-05-30T00:00:00"/>
    <n v="155"/>
    <n v="9.6875"/>
    <n v="6"/>
    <n v="3.870967741935484"/>
    <n v="6.0417338709677422"/>
    <s v="Good"/>
    <n v="6000"/>
    <n v="6.0437738709677422"/>
  </r>
  <r>
    <x v="203"/>
    <s v="IT"/>
    <s v="Quality Assurance Tester"/>
    <d v="2022-06-23T00:00:00"/>
    <n v="124"/>
    <n v="7.75"/>
    <n v="10"/>
    <n v="8.064516129032258"/>
    <n v="8.3572580645161292"/>
    <s v="Excellent"/>
    <n v="9000"/>
    <n v="8.3593080645161297"/>
  </r>
  <r>
    <x v="204"/>
    <s v="IT"/>
    <s v="Graphic Designer"/>
    <d v="2022-07-20T00:00:00"/>
    <n v="102"/>
    <n v="6.375"/>
    <n v="6"/>
    <n v="5.8823529411764701"/>
    <n v="6.0536764705882353"/>
    <s v="Good"/>
    <n v="6000"/>
    <n v="6.0557364705882355"/>
  </r>
  <r>
    <x v="205"/>
    <s v="Human Resources"/>
    <s v="HR Specialist"/>
    <d v="2022-08-15T00:00:00"/>
    <n v="159"/>
    <n v="9.9375"/>
    <n v="10"/>
    <n v="6.2893081761006293"/>
    <n v="8.1259040880503139"/>
    <s v="Excellent"/>
    <n v="9000"/>
    <n v="8.1279740880503137"/>
  </r>
  <r>
    <x v="206"/>
    <s v="Human Resources"/>
    <s v="Recruiter"/>
    <d v="2022-08-17T00:00:00"/>
    <n v="137"/>
    <n v="8.5625"/>
    <n v="5"/>
    <n v="3.6496350364963499"/>
    <n v="5.393567518248175"/>
    <s v="Needs Improvement"/>
    <n v="4000"/>
    <n v="5.3956475182481753"/>
  </r>
  <r>
    <x v="207"/>
    <s v="Human Resources"/>
    <s v="Office Administrator"/>
    <d v="2022-09-08T00:00:00"/>
    <n v="139"/>
    <n v="8.6875"/>
    <n v="5"/>
    <n v="3.5971223021582732"/>
    <n v="5.4048111510791363"/>
    <s v="Needs Improvement"/>
    <n v="4000"/>
    <n v="5.4069011510791363"/>
  </r>
  <r>
    <x v="208"/>
    <s v="Human Resources"/>
    <s v="HR Specialist"/>
    <d v="2022-09-14T00:00:00"/>
    <n v="149"/>
    <n v="9.3125"/>
    <n v="10"/>
    <n v="6.7114093959731544"/>
    <n v="8.1494546979865774"/>
    <s v="Excellent"/>
    <n v="9000"/>
    <n v="8.1515546979865778"/>
  </r>
  <r>
    <x v="209"/>
    <s v="Human Resources"/>
    <s v="Recruiter"/>
    <d v="2022-09-20T00:00:00"/>
    <n v="147"/>
    <n v="9.1875"/>
    <n v="6"/>
    <n v="4.0816326530612246"/>
    <n v="5.9970663265306126"/>
    <s v="Needs Improvement"/>
    <n v="4000"/>
    <n v="5.99917632653061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A30DD-5836-421F-B052-F85EE0107DF4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Performance Category">
  <location ref="D3:E7" firstHeaderRow="1" firstDataRow="1" firstDataCol="1"/>
  <pivotFields count="11">
    <pivotField dataField="1"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axis="axisRow" showAll="0">
      <items count="4">
        <item x="2"/>
        <item x="0"/>
        <item x="1"/>
        <item t="default"/>
      </items>
    </pivotField>
    <pivotField numFmtId="2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erformance Category Distribution" fld="0" subtotal="count" baseField="9" baseItem="0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6114B-45E0-4274-AB1F-E47EB6BDD10D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 rowHeaderCaption="Department">
  <location ref="A13:B19" firstHeaderRow="1" firstDataRow="1" firstDataCol="1"/>
  <pivotFields count="11"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showAll="0"/>
    <pivotField showAll="0"/>
    <pivotField numFmtId="2" showAll="0"/>
    <pivotField numFmtId="10" showAll="0"/>
    <pivotField numFmtId="2" showAll="0"/>
    <pivotField numFmtId="9" showAll="0"/>
    <pivotField numFmtId="2"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lary By Department" fld="10" baseField="1" baseItem="0" numFmtId="1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BBED3-67FD-4FBB-A882-9046D0E172D0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epartment">
  <location ref="A3:B9" firstHeaderRow="1" firstDataRow="1" firstDataCol="1"/>
  <pivotFields count="11"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showAll="0"/>
    <pivotField showAll="0"/>
    <pivotField numFmtId="2" showAll="0"/>
    <pivotField numFmtId="10" showAll="0"/>
    <pivotField numFmtId="2" showAll="0"/>
    <pivotField numFmtId="9" showAll="0"/>
    <pivotField dataField="1" numFmtId="2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 Performance By Department " fld="8" baseField="1" baseItem="0" numFmtId="2"/>
  </dataFields>
  <formats count="5">
    <format dxfId="21">
      <pivotArea collapsedLevelsAreSubtotals="1" fieldPosition="0">
        <references count="1">
          <reference field="1" count="1">
            <x v="0"/>
          </reference>
        </references>
      </pivotArea>
    </format>
    <format dxfId="20">
      <pivotArea collapsedLevelsAreSubtotals="1" fieldPosition="0">
        <references count="1">
          <reference field="1" count="1">
            <x v="1"/>
          </reference>
        </references>
      </pivotArea>
    </format>
    <format dxfId="19">
      <pivotArea collapsedLevelsAreSubtotals="1" fieldPosition="0">
        <references count="1">
          <reference field="1" count="1">
            <x v="2"/>
          </reference>
        </references>
      </pivotArea>
    </format>
    <format dxfId="18">
      <pivotArea collapsedLevelsAreSubtotals="1" fieldPosition="0">
        <references count="1">
          <reference field="1" count="1">
            <x v="3"/>
          </reference>
        </references>
      </pivotArea>
    </format>
    <format dxfId="17">
      <pivotArea collapsedLevelsAreSubtotals="1" fieldPosition="0">
        <references count="1">
          <reference field="1" count="1">
            <x v="4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CE896-F52B-4EF1-A3D7-A81DD77E15F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Top 5 Employees">
  <location ref="D13:E19" firstHeaderRow="1" firstDataRow="1" firstDataCol="1"/>
  <pivotFields count="12">
    <pivotField axis="axisRow" showAll="0" measureFilter="1" sortType="ascending">
      <items count="211">
        <item x="109"/>
        <item x="182"/>
        <item x="119"/>
        <item x="188"/>
        <item x="132"/>
        <item x="94"/>
        <item x="154"/>
        <item x="82"/>
        <item x="76"/>
        <item x="17"/>
        <item x="169"/>
        <item x="46"/>
        <item x="131"/>
        <item x="165"/>
        <item x="184"/>
        <item x="50"/>
        <item x="144"/>
        <item x="40"/>
        <item x="203"/>
        <item x="167"/>
        <item x="63"/>
        <item x="51"/>
        <item x="14"/>
        <item x="32"/>
        <item x="114"/>
        <item x="141"/>
        <item x="1"/>
        <item x="103"/>
        <item x="137"/>
        <item x="85"/>
        <item x="92"/>
        <item x="75"/>
        <item x="93"/>
        <item x="209"/>
        <item x="27"/>
        <item x="191"/>
        <item x="151"/>
        <item x="196"/>
        <item x="10"/>
        <item x="126"/>
        <item x="118"/>
        <item x="199"/>
        <item x="59"/>
        <item x="23"/>
        <item x="112"/>
        <item x="79"/>
        <item x="145"/>
        <item x="7"/>
        <item x="125"/>
        <item x="44"/>
        <item x="34"/>
        <item x="104"/>
        <item x="31"/>
        <item x="135"/>
        <item x="197"/>
        <item x="39"/>
        <item x="97"/>
        <item x="53"/>
        <item x="200"/>
        <item x="29"/>
        <item x="84"/>
        <item x="148"/>
        <item x="70"/>
        <item x="138"/>
        <item x="133"/>
        <item x="78"/>
        <item x="178"/>
        <item x="172"/>
        <item x="16"/>
        <item x="162"/>
        <item x="146"/>
        <item x="71"/>
        <item x="202"/>
        <item x="179"/>
        <item x="173"/>
        <item x="65"/>
        <item x="68"/>
        <item x="176"/>
        <item x="81"/>
        <item x="99"/>
        <item x="205"/>
        <item x="175"/>
        <item x="100"/>
        <item x="41"/>
        <item x="28"/>
        <item x="160"/>
        <item x="80"/>
        <item x="74"/>
        <item x="12"/>
        <item x="33"/>
        <item x="108"/>
        <item x="186"/>
        <item x="5"/>
        <item x="127"/>
        <item x="150"/>
        <item x="66"/>
        <item x="161"/>
        <item x="91"/>
        <item x="189"/>
        <item x="187"/>
        <item x="140"/>
        <item x="124"/>
        <item x="87"/>
        <item x="177"/>
        <item x="111"/>
        <item x="18"/>
        <item x="116"/>
        <item x="130"/>
        <item x="170"/>
        <item x="57"/>
        <item x="174"/>
        <item x="24"/>
        <item x="134"/>
        <item x="123"/>
        <item x="95"/>
        <item x="180"/>
        <item x="36"/>
        <item x="121"/>
        <item x="37"/>
        <item x="181"/>
        <item x="192"/>
        <item x="115"/>
        <item x="110"/>
        <item x="96"/>
        <item x="152"/>
        <item x="58"/>
        <item x="168"/>
        <item x="194"/>
        <item x="128"/>
        <item x="20"/>
        <item x="55"/>
        <item x="120"/>
        <item x="54"/>
        <item x="77"/>
        <item x="56"/>
        <item x="69"/>
        <item x="101"/>
        <item x="67"/>
        <item x="3"/>
        <item x="105"/>
        <item x="2"/>
        <item x="163"/>
        <item x="45"/>
        <item x="13"/>
        <item x="60"/>
        <item x="6"/>
        <item x="122"/>
        <item x="158"/>
        <item x="143"/>
        <item x="11"/>
        <item x="62"/>
        <item x="43"/>
        <item x="117"/>
        <item x="142"/>
        <item x="64"/>
        <item x="0"/>
        <item x="193"/>
        <item x="22"/>
        <item x="88"/>
        <item x="38"/>
        <item x="129"/>
        <item x="98"/>
        <item x="102"/>
        <item x="164"/>
        <item x="30"/>
        <item x="207"/>
        <item x="61"/>
        <item x="8"/>
        <item x="72"/>
        <item x="9"/>
        <item x="198"/>
        <item x="19"/>
        <item x="107"/>
        <item x="156"/>
        <item x="204"/>
        <item x="159"/>
        <item x="89"/>
        <item x="155"/>
        <item x="47"/>
        <item x="136"/>
        <item x="185"/>
        <item x="83"/>
        <item x="166"/>
        <item x="201"/>
        <item x="90"/>
        <item x="86"/>
        <item x="153"/>
        <item x="21"/>
        <item x="206"/>
        <item x="25"/>
        <item x="149"/>
        <item x="147"/>
        <item x="183"/>
        <item x="139"/>
        <item x="35"/>
        <item x="208"/>
        <item x="4"/>
        <item x="73"/>
        <item x="190"/>
        <item x="157"/>
        <item x="42"/>
        <item x="195"/>
        <item x="113"/>
        <item x="26"/>
        <item x="171"/>
        <item x="48"/>
        <item x="15"/>
        <item x="49"/>
        <item x="52"/>
        <item x="1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164" showAll="0"/>
    <pivotField showAll="0"/>
    <pivotField numFmtId="2" showAll="0"/>
    <pivotField dataField="1" numFmtId="2" showAll="0"/>
  </pivotFields>
  <rowFields count="1">
    <field x="0"/>
  </rowFields>
  <rowItems count="6">
    <i>
      <x v="122"/>
    </i>
    <i>
      <x v="205"/>
    </i>
    <i>
      <x v="22"/>
    </i>
    <i>
      <x v="170"/>
    </i>
    <i>
      <x v="172"/>
    </i>
    <i t="grand">
      <x/>
    </i>
  </rowItems>
  <colItems count="1">
    <i/>
  </colItems>
  <dataFields count="1">
    <dataField name="Performance Index" fld="11" baseField="0" baseItem="0" numFmtId="2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81F290-D2A0-40E6-BD27-A5C5D9358438}" name="Table1" displayName="Table1" ref="A1:K211" totalsRowShown="0" headerRowDxfId="6">
  <autoFilter ref="A1:K211" xr:uid="{5181F290-D2A0-40E6-BD27-A5C5D9358438}"/>
  <sortState xmlns:xlrd2="http://schemas.microsoft.com/office/spreadsheetml/2017/richdata2" ref="A2:K211">
    <sortCondition descending="1" ref="F1:F211"/>
  </sortState>
  <tableColumns count="11">
    <tableColumn id="1" xr3:uid="{6A7E68A9-5857-4391-915C-BA37B78203C4}" name="Employee Name" dataDxfId="16"/>
    <tableColumn id="2" xr3:uid="{FEE5610C-F5FD-4D5D-B7F8-78DB4F16CDE6}" name="Department" dataDxfId="15"/>
    <tableColumn id="3" xr3:uid="{075E408A-FC95-4322-8FB8-06CBCCE21268}" name="Job Title" dataDxfId="14"/>
    <tableColumn id="4" xr3:uid="{5B906146-4238-4BCC-9299-DA81AD26EFE9}" name="Hire Date" dataDxfId="13"/>
    <tableColumn id="5" xr3:uid="{099CD6B3-6AA0-42D3-A2D5-147B8E4A8DB3}" name="Hours Worked" dataDxfId="12">
      <calculatedColumnFormula>RANDBETWEEN(100,160)</calculatedColumnFormula>
    </tableColumn>
    <tableColumn id="6" xr3:uid="{ED6AEEB2-6DD9-4912-9E1D-A18A05207CE8}" name="Attendance" dataDxfId="11" dataCellStyle="Percent">
      <calculatedColumnFormula>(E2/160)*10</calculatedColumnFormula>
    </tableColumn>
    <tableColumn id="7" xr3:uid="{5B616335-69AB-4BCE-B95A-F106A23C650B}" name="Projects Completed" dataDxfId="10">
      <calculatedColumnFormula>RANDBETWEEN(5,10)</calculatedColumnFormula>
    </tableColumn>
    <tableColumn id="8" xr3:uid="{836C8385-C13F-494E-8950-A1B19A402534}" name="Productivity Ratio" dataDxfId="9" dataCellStyle="Percent">
      <calculatedColumnFormula>G2/E2*100</calculatedColumnFormula>
    </tableColumn>
    <tableColumn id="9" xr3:uid="{328DF2AD-D273-4DF4-89C6-BE0B3C372C24}" name="Performance Score" dataDxfId="8">
      <calculatedColumnFormula xml:space="preserve"> (H2*0.5) + (F2*0.3) + (G2*0.2)</calculatedColumnFormula>
    </tableColumn>
    <tableColumn id="10" xr3:uid="{7B43FB2A-26F0-41AB-86DD-B881C6404507}" name="Performance Category" dataDxfId="7">
      <calculatedColumnFormula>IF(I2&gt;=8,"Excellent",IF(I2&gt;=6,"Good","Needs Improvement"))</calculatedColumnFormula>
    </tableColumn>
    <tableColumn id="11" xr3:uid="{650B18F1-3934-4763-AEC9-0FB05C5F7DA8}" name="Monthly Salary" dataDxfId="5">
      <calculatedColumnFormula>IF(I2&gt;=8,9000,IF(I2&gt;=6,6000,4000))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2540-94D2-4B66-BCB0-612CEE653E7C}">
  <dimension ref="A1:M1013"/>
  <sheetViews>
    <sheetView tabSelected="1" topLeftCell="A104" workbookViewId="0">
      <selection activeCell="F2" sqref="F2"/>
    </sheetView>
  </sheetViews>
  <sheetFormatPr defaultColWidth="28.21875" defaultRowHeight="14.4"/>
  <cols>
    <col min="1" max="1" width="28.21875" style="3"/>
    <col min="2" max="3" width="28.21875" style="13"/>
    <col min="4" max="4" width="28.21875" style="15"/>
    <col min="5" max="5" width="28.21875" style="16"/>
    <col min="6" max="6" width="28.21875" style="20"/>
    <col min="7" max="7" width="28.21875" style="16"/>
    <col min="8" max="8" width="28.21875" style="3"/>
    <col min="9" max="9" width="28.21875" style="16"/>
    <col min="10" max="10" width="28.21875" style="9"/>
    <col min="11" max="11" width="28.21875" style="16"/>
    <col min="14" max="16384" width="28.21875" style="3"/>
  </cols>
  <sheetData>
    <row r="1" spans="1:12">
      <c r="A1" s="4" t="s">
        <v>243</v>
      </c>
      <c r="B1" s="12" t="s">
        <v>0</v>
      </c>
      <c r="C1" s="12" t="s">
        <v>215</v>
      </c>
      <c r="D1" s="14" t="s">
        <v>216</v>
      </c>
      <c r="E1" s="12" t="s">
        <v>242</v>
      </c>
      <c r="F1" s="19" t="s">
        <v>241</v>
      </c>
      <c r="G1" s="12" t="s">
        <v>217</v>
      </c>
      <c r="H1" s="18" t="s">
        <v>244</v>
      </c>
      <c r="I1" s="12" t="s">
        <v>218</v>
      </c>
      <c r="J1" s="17" t="s">
        <v>245</v>
      </c>
      <c r="K1" s="12" t="s">
        <v>219</v>
      </c>
    </row>
    <row r="2" spans="1:12">
      <c r="A2" s="2" t="s">
        <v>78</v>
      </c>
      <c r="B2" s="13" t="s">
        <v>2</v>
      </c>
      <c r="C2" s="13" t="s">
        <v>227</v>
      </c>
      <c r="D2" s="15">
        <v>44999</v>
      </c>
      <c r="E2" s="16">
        <f ca="1">RANDBETWEEN(100,160)</f>
        <v>137</v>
      </c>
      <c r="F2" s="20">
        <f ca="1">(E2/160)*10</f>
        <v>8.5625</v>
      </c>
      <c r="G2" s="16">
        <f ca="1">RANDBETWEEN(5,10)</f>
        <v>7</v>
      </c>
      <c r="H2" s="21">
        <f ca="1">G2/E2*100</f>
        <v>5.1094890510948909</v>
      </c>
      <c r="I2" s="23">
        <f ca="1" xml:space="preserve"> (H2*0.5) + (F2*0.3) + (G2*0.2)</f>
        <v>6.5234945255474459</v>
      </c>
      <c r="J2" s="9" t="str">
        <f ca="1">IF(I2&gt;=8,"Excellent",IF(I2&gt;=6,"Good","Needs Improvement"))</f>
        <v>Good</v>
      </c>
      <c r="K2" s="16">
        <f ca="1">IF(I2&gt;=8,9000,IF(I2&gt;=6,6000,4000))</f>
        <v>6000</v>
      </c>
    </row>
    <row r="3" spans="1:12">
      <c r="A3" s="2" t="s">
        <v>86</v>
      </c>
      <c r="B3" s="13" t="s">
        <v>3</v>
      </c>
      <c r="C3" s="13" t="s">
        <v>231</v>
      </c>
      <c r="D3" s="15">
        <v>46036</v>
      </c>
      <c r="E3" s="16">
        <f ca="1">RANDBETWEEN(100,160)</f>
        <v>140</v>
      </c>
      <c r="F3" s="20">
        <f ca="1">(E3/160)*10</f>
        <v>8.75</v>
      </c>
      <c r="G3" s="16">
        <f ca="1">RANDBETWEEN(5,10)</f>
        <v>10</v>
      </c>
      <c r="H3" s="21">
        <f ca="1">G3/E3*100</f>
        <v>7.1428571428571423</v>
      </c>
      <c r="I3" s="23">
        <f ca="1" xml:space="preserve"> (H3*0.5) + (F3*0.3) + (G3*0.2)</f>
        <v>8.1964285714285712</v>
      </c>
      <c r="J3" s="9" t="str">
        <f ca="1">IF(I3&gt;=8,"Excellent",IF(I3&gt;=6,"Good","Needs Improvement"))</f>
        <v>Excellent</v>
      </c>
      <c r="K3" s="16">
        <f ca="1">IF(I3&gt;=8,9000,IF(I3&gt;=6,6000,4000))</f>
        <v>9000</v>
      </c>
      <c r="L3" s="22"/>
    </row>
    <row r="4" spans="1:12">
      <c r="A4" s="2" t="s">
        <v>193</v>
      </c>
      <c r="B4" s="13" t="s">
        <v>3</v>
      </c>
      <c r="C4" s="13" t="s">
        <v>233</v>
      </c>
      <c r="D4" s="15">
        <v>45583</v>
      </c>
      <c r="E4" s="16">
        <f ca="1">RANDBETWEEN(100,160)</f>
        <v>105</v>
      </c>
      <c r="F4" s="20">
        <f ca="1">(E4/160)*10</f>
        <v>6.5625</v>
      </c>
      <c r="G4" s="16">
        <f ca="1">RANDBETWEEN(5,10)</f>
        <v>6</v>
      </c>
      <c r="H4" s="21">
        <f ca="1">G4/E4*100</f>
        <v>5.7142857142857144</v>
      </c>
      <c r="I4" s="23">
        <f ca="1" xml:space="preserve"> (H4*0.5) + (F4*0.3) + (G4*0.2)</f>
        <v>6.0258928571428578</v>
      </c>
      <c r="J4" s="9" t="str">
        <f ca="1">IF(I4&gt;=8,"Excellent",IF(I4&gt;=6,"Good","Needs Improvement"))</f>
        <v>Good</v>
      </c>
      <c r="K4" s="16">
        <f ca="1">IF(I4&gt;=8,9000,IF(I4&gt;=6,6000,4000))</f>
        <v>6000</v>
      </c>
      <c r="L4" s="7"/>
    </row>
    <row r="5" spans="1:12">
      <c r="A5" s="2" t="s">
        <v>72</v>
      </c>
      <c r="B5" s="13" t="s">
        <v>1</v>
      </c>
      <c r="C5" s="13" t="s">
        <v>225</v>
      </c>
      <c r="D5" s="15">
        <v>44848</v>
      </c>
      <c r="E5" s="16">
        <f ca="1">RANDBETWEEN(100,160)</f>
        <v>104</v>
      </c>
      <c r="F5" s="20">
        <f ca="1">(E5/160)*10</f>
        <v>6.5</v>
      </c>
      <c r="G5" s="16">
        <f ca="1">RANDBETWEEN(5,10)</f>
        <v>8</v>
      </c>
      <c r="H5" s="21">
        <f ca="1">G5/E5*100</f>
        <v>7.6923076923076925</v>
      </c>
      <c r="I5" s="23">
        <f ca="1" xml:space="preserve"> (H5*0.5) + (F5*0.3) + (G5*0.2)</f>
        <v>7.3961538461538456</v>
      </c>
      <c r="J5" s="9" t="str">
        <f ca="1">IF(I5&gt;=8,"Excellent",IF(I5&gt;=6,"Good","Needs Improvement"))</f>
        <v>Good</v>
      </c>
      <c r="K5" s="16">
        <f ca="1">IF(I5&gt;=8,9000,IF(I5&gt;=6,6000,4000))</f>
        <v>6000</v>
      </c>
      <c r="L5" s="7"/>
    </row>
    <row r="6" spans="1:12">
      <c r="A6" s="2" t="s">
        <v>123</v>
      </c>
      <c r="B6" s="13" t="s">
        <v>4</v>
      </c>
      <c r="C6" s="13" t="s">
        <v>234</v>
      </c>
      <c r="D6" s="15">
        <v>45868</v>
      </c>
      <c r="E6" s="16">
        <f ca="1">RANDBETWEEN(100,160)</f>
        <v>157</v>
      </c>
      <c r="F6" s="20">
        <f ca="1">(E6/160)*10</f>
        <v>9.8125</v>
      </c>
      <c r="G6" s="16">
        <f ca="1">RANDBETWEEN(5,10)</f>
        <v>9</v>
      </c>
      <c r="H6" s="21">
        <f ca="1">G6/E6*100</f>
        <v>5.7324840764331215</v>
      </c>
      <c r="I6" s="23">
        <f ca="1" xml:space="preserve"> (H6*0.5) + (F6*0.3) + (G6*0.2)</f>
        <v>7.6099920382165607</v>
      </c>
      <c r="J6" s="9" t="str">
        <f ca="1">IF(I6&gt;=8,"Excellent",IF(I6&gt;=6,"Good","Needs Improvement"))</f>
        <v>Good</v>
      </c>
      <c r="K6" s="16">
        <f ca="1">IF(I6&gt;=8,9000,IF(I6&gt;=6,6000,4000))</f>
        <v>6000</v>
      </c>
    </row>
    <row r="7" spans="1:12">
      <c r="A7" s="2" t="s">
        <v>113</v>
      </c>
      <c r="B7" s="13" t="s">
        <v>3</v>
      </c>
      <c r="C7" s="13" t="s">
        <v>231</v>
      </c>
      <c r="D7" s="15">
        <v>45289</v>
      </c>
      <c r="E7" s="16">
        <f ca="1">RANDBETWEEN(100,160)</f>
        <v>111</v>
      </c>
      <c r="F7" s="20">
        <f ca="1">(E7/160)*10</f>
        <v>6.9375</v>
      </c>
      <c r="G7" s="16">
        <f ca="1">RANDBETWEEN(5,10)</f>
        <v>7</v>
      </c>
      <c r="H7" s="21">
        <f ca="1">G7/E7*100</f>
        <v>6.3063063063063058</v>
      </c>
      <c r="I7" s="23">
        <f ca="1" xml:space="preserve"> (H7*0.5) + (F7*0.3) + (G7*0.2)</f>
        <v>6.6344031531531531</v>
      </c>
      <c r="J7" s="9" t="str">
        <f ca="1">IF(I7&gt;=8,"Excellent",IF(I7&gt;=6,"Good","Needs Improvement"))</f>
        <v>Good</v>
      </c>
      <c r="K7" s="16">
        <f ca="1">IF(I7&gt;=8,9000,IF(I7&gt;=6,6000,4000))</f>
        <v>6000</v>
      </c>
    </row>
    <row r="8" spans="1:12">
      <c r="A8" s="2" t="s">
        <v>49</v>
      </c>
      <c r="B8" s="13" t="s">
        <v>4</v>
      </c>
      <c r="C8" s="13" t="s">
        <v>238</v>
      </c>
      <c r="D8" s="15">
        <v>45995</v>
      </c>
      <c r="E8" s="16">
        <f ca="1">RANDBETWEEN(100,160)</f>
        <v>111</v>
      </c>
      <c r="F8" s="20">
        <f ca="1">(E8/160)*10</f>
        <v>6.9375</v>
      </c>
      <c r="G8" s="16">
        <f ca="1">RANDBETWEEN(5,10)</f>
        <v>9</v>
      </c>
      <c r="H8" s="21">
        <f ca="1">G8/E8*100</f>
        <v>8.1081081081081088</v>
      </c>
      <c r="I8" s="23">
        <f ca="1" xml:space="preserve"> (H8*0.5) + (F8*0.3) + (G8*0.2)</f>
        <v>7.935304054054054</v>
      </c>
      <c r="J8" s="9" t="str">
        <f ca="1">IF(I8&gt;=8,"Excellent",IF(I8&gt;=6,"Good","Needs Improvement"))</f>
        <v>Good</v>
      </c>
      <c r="K8" s="16">
        <f ca="1">IF(I8&gt;=8,9000,IF(I8&gt;=6,6000,4000))</f>
        <v>6000</v>
      </c>
    </row>
    <row r="9" spans="1:12">
      <c r="A9" s="2" t="s">
        <v>22</v>
      </c>
      <c r="B9" s="13" t="s">
        <v>1</v>
      </c>
      <c r="C9" s="13" t="s">
        <v>225</v>
      </c>
      <c r="D9" s="15">
        <v>45742</v>
      </c>
      <c r="E9" s="16">
        <f ca="1">RANDBETWEEN(100,160)</f>
        <v>149</v>
      </c>
      <c r="F9" s="20">
        <f ca="1">(E9/160)*10</f>
        <v>9.3125</v>
      </c>
      <c r="G9" s="16">
        <f ca="1">RANDBETWEEN(5,10)</f>
        <v>6</v>
      </c>
      <c r="H9" s="21">
        <f ca="1">G9/E9*100</f>
        <v>4.0268456375838921</v>
      </c>
      <c r="I9" s="23">
        <f ca="1" xml:space="preserve"> (H9*0.5) + (F9*0.3) + (G9*0.2)</f>
        <v>6.007172818791946</v>
      </c>
      <c r="J9" s="9" t="str">
        <f ca="1">IF(I9&gt;=8,"Excellent",IF(I9&gt;=6,"Good","Needs Improvement"))</f>
        <v>Good</v>
      </c>
      <c r="K9" s="16">
        <f ca="1">IF(I9&gt;=8,9000,IF(I9&gt;=6,6000,4000))</f>
        <v>6000</v>
      </c>
    </row>
    <row r="10" spans="1:12">
      <c r="A10" s="2" t="s">
        <v>180</v>
      </c>
      <c r="B10" s="13" t="s">
        <v>2</v>
      </c>
      <c r="C10" s="13" t="s">
        <v>227</v>
      </c>
      <c r="D10" s="15">
        <v>45357</v>
      </c>
      <c r="E10" s="16">
        <f ca="1">RANDBETWEEN(100,160)</f>
        <v>147</v>
      </c>
      <c r="F10" s="20">
        <f ca="1">(E10/160)*10</f>
        <v>9.1875</v>
      </c>
      <c r="G10" s="16">
        <f ca="1">RANDBETWEEN(5,10)</f>
        <v>5</v>
      </c>
      <c r="H10" s="21">
        <f ca="1">G10/E10*100</f>
        <v>3.4013605442176873</v>
      </c>
      <c r="I10" s="23">
        <f ca="1" xml:space="preserve"> (H10*0.5) + (F10*0.3) + (G10*0.2)</f>
        <v>5.4569302721088437</v>
      </c>
      <c r="J10" s="9" t="str">
        <f ca="1">IF(I10&gt;=8,"Excellent",IF(I10&gt;=6,"Good","Needs Improvement"))</f>
        <v>Needs Improvement</v>
      </c>
      <c r="K10" s="16">
        <f ca="1">IF(I10&gt;=8,9000,IF(I10&gt;=6,6000,4000))</f>
        <v>4000</v>
      </c>
    </row>
    <row r="11" spans="1:12">
      <c r="A11" s="2" t="s">
        <v>200</v>
      </c>
      <c r="B11" s="13" t="s">
        <v>4</v>
      </c>
      <c r="C11" s="13" t="s">
        <v>234</v>
      </c>
      <c r="D11" s="15">
        <v>45707</v>
      </c>
      <c r="E11" s="16">
        <f ca="1">RANDBETWEEN(100,160)</f>
        <v>106</v>
      </c>
      <c r="F11" s="20">
        <f ca="1">(E11/160)*10</f>
        <v>6.625</v>
      </c>
      <c r="G11" s="16">
        <f ca="1">RANDBETWEEN(5,10)</f>
        <v>8</v>
      </c>
      <c r="H11" s="21">
        <f ca="1">G11/E11*100</f>
        <v>7.5471698113207548</v>
      </c>
      <c r="I11" s="23">
        <f ca="1" xml:space="preserve"> (H11*0.5) + (F11*0.3) + (G11*0.2)</f>
        <v>7.3610849056603769</v>
      </c>
      <c r="J11" s="9" t="str">
        <f ca="1">IF(I11&gt;=8,"Excellent",IF(I11&gt;=6,"Good","Needs Improvement"))</f>
        <v>Good</v>
      </c>
      <c r="K11" s="16">
        <f ca="1">IF(I11&gt;=8,9000,IF(I11&gt;=6,6000,4000))</f>
        <v>6000</v>
      </c>
    </row>
    <row r="12" spans="1:12">
      <c r="A12" s="2" t="s">
        <v>103</v>
      </c>
      <c r="B12" s="13" t="s">
        <v>4</v>
      </c>
      <c r="C12" s="13" t="s">
        <v>237</v>
      </c>
      <c r="D12" s="15">
        <v>45743</v>
      </c>
      <c r="E12" s="16">
        <f ca="1">RANDBETWEEN(100,160)</f>
        <v>108</v>
      </c>
      <c r="F12" s="20">
        <f ca="1">(E12/160)*10</f>
        <v>6.75</v>
      </c>
      <c r="G12" s="16">
        <f ca="1">RANDBETWEEN(5,10)</f>
        <v>9</v>
      </c>
      <c r="H12" s="21">
        <f ca="1">G12/E12*100</f>
        <v>8.3333333333333321</v>
      </c>
      <c r="I12" s="23">
        <f ca="1" xml:space="preserve"> (H12*0.5) + (F12*0.3) + (G12*0.2)</f>
        <v>7.9916666666666663</v>
      </c>
      <c r="J12" s="9" t="str">
        <f ca="1">IF(I12&gt;=8,"Excellent",IF(I12&gt;=6,"Good","Needs Improvement"))</f>
        <v>Good</v>
      </c>
      <c r="K12" s="16">
        <f ca="1">IF(I12&gt;=8,9000,IF(I12&gt;=6,6000,4000))</f>
        <v>6000</v>
      </c>
    </row>
    <row r="13" spans="1:12">
      <c r="A13" s="2" t="s">
        <v>79</v>
      </c>
      <c r="B13" s="13" t="s">
        <v>2</v>
      </c>
      <c r="C13" s="13" t="s">
        <v>228</v>
      </c>
      <c r="D13" s="15">
        <v>45007</v>
      </c>
      <c r="E13" s="16">
        <f ca="1">RANDBETWEEN(100,160)</f>
        <v>152</v>
      </c>
      <c r="F13" s="20">
        <f ca="1">(E13/160)*10</f>
        <v>9.5</v>
      </c>
      <c r="G13" s="16">
        <f ca="1">RANDBETWEEN(5,10)</f>
        <v>6</v>
      </c>
      <c r="H13" s="21">
        <f ca="1">G13/E13*100</f>
        <v>3.9473684210526314</v>
      </c>
      <c r="I13" s="23">
        <f ca="1" xml:space="preserve"> (H13*0.5) + (F13*0.3) + (G13*0.2)</f>
        <v>6.0236842105263158</v>
      </c>
      <c r="J13" s="9" t="str">
        <f ca="1">IF(I13&gt;=8,"Excellent",IF(I13&gt;=6,"Good","Needs Improvement"))</f>
        <v>Good</v>
      </c>
      <c r="K13" s="16">
        <f ca="1">IF(I13&gt;=8,9000,IF(I13&gt;=6,6000,4000))</f>
        <v>6000</v>
      </c>
    </row>
    <row r="14" spans="1:12">
      <c r="A14" s="2" t="s">
        <v>211</v>
      </c>
      <c r="B14" s="13" t="s">
        <v>220</v>
      </c>
      <c r="C14" s="13" t="s">
        <v>222</v>
      </c>
      <c r="D14" s="15">
        <v>44790</v>
      </c>
      <c r="E14" s="16">
        <f ca="1">RANDBETWEEN(100,160)</f>
        <v>144</v>
      </c>
      <c r="F14" s="20">
        <f ca="1">(E14/160)*10</f>
        <v>9</v>
      </c>
      <c r="G14" s="16">
        <f ca="1">RANDBETWEEN(5,10)</f>
        <v>8</v>
      </c>
      <c r="H14" s="21">
        <f ca="1">G14/E14*100</f>
        <v>5.5555555555555554</v>
      </c>
      <c r="I14" s="23">
        <f ca="1" xml:space="preserve"> (H14*0.5) + (F14*0.3) + (G14*0.2)</f>
        <v>7.0777777777777775</v>
      </c>
      <c r="J14" s="9" t="str">
        <f ca="1">IF(I14&gt;=8,"Excellent",IF(I14&gt;=6,"Good","Needs Improvement"))</f>
        <v>Good</v>
      </c>
      <c r="K14" s="16">
        <f ca="1">IF(I14&gt;=8,9000,IF(I14&gt;=6,6000,4000))</f>
        <v>6000</v>
      </c>
    </row>
    <row r="15" spans="1:12">
      <c r="A15" s="2" t="s">
        <v>63</v>
      </c>
      <c r="B15" s="13" t="s">
        <v>220</v>
      </c>
      <c r="C15" s="13" t="s">
        <v>223</v>
      </c>
      <c r="D15" s="15">
        <v>44711</v>
      </c>
      <c r="E15" s="16">
        <f ca="1">RANDBETWEEN(100,160)</f>
        <v>139</v>
      </c>
      <c r="F15" s="20">
        <f ca="1">(E15/160)*10</f>
        <v>8.6875</v>
      </c>
      <c r="G15" s="16">
        <f ca="1">RANDBETWEEN(5,10)</f>
        <v>5</v>
      </c>
      <c r="H15" s="21">
        <f ca="1">G15/E15*100</f>
        <v>3.5971223021582732</v>
      </c>
      <c r="I15" s="23">
        <f ca="1" xml:space="preserve"> (H15*0.5) + (F15*0.3) + (G15*0.2)</f>
        <v>5.4048111510791363</v>
      </c>
      <c r="J15" s="9" t="str">
        <f ca="1">IF(I15&gt;=8,"Excellent",IF(I15&gt;=6,"Good","Needs Improvement"))</f>
        <v>Needs Improvement</v>
      </c>
      <c r="K15" s="16">
        <f ca="1">IF(I15&gt;=8,9000,IF(I15&gt;=6,6000,4000))</f>
        <v>4000</v>
      </c>
    </row>
    <row r="16" spans="1:12">
      <c r="A16" s="2" t="s">
        <v>114</v>
      </c>
      <c r="B16" s="13" t="s">
        <v>3</v>
      </c>
      <c r="C16" s="13" t="s">
        <v>232</v>
      </c>
      <c r="D16" s="15">
        <v>45349</v>
      </c>
      <c r="E16" s="16">
        <f ca="1">RANDBETWEEN(100,160)</f>
        <v>147</v>
      </c>
      <c r="F16" s="20">
        <f ca="1">(E16/160)*10</f>
        <v>9.1875</v>
      </c>
      <c r="G16" s="16">
        <f ca="1">RANDBETWEEN(5,10)</f>
        <v>9</v>
      </c>
      <c r="H16" s="21">
        <f ca="1">G16/E16*100</f>
        <v>6.1224489795918364</v>
      </c>
      <c r="I16" s="23">
        <f ca="1" xml:space="preserve"> (H16*0.5) + (F16*0.3) + (G16*0.2)</f>
        <v>7.6174744897959181</v>
      </c>
      <c r="J16" s="9" t="str">
        <f ca="1">IF(I16&gt;=8,"Excellent",IF(I16&gt;=6,"Good","Needs Improvement"))</f>
        <v>Good</v>
      </c>
      <c r="K16" s="16">
        <f ca="1">IF(I16&gt;=8,9000,IF(I16&gt;=6,6000,4000))</f>
        <v>6000</v>
      </c>
    </row>
    <row r="17" spans="1:11">
      <c r="A17" s="2" t="s">
        <v>110</v>
      </c>
      <c r="B17" s="13" t="s">
        <v>3</v>
      </c>
      <c r="C17" s="13" t="s">
        <v>232</v>
      </c>
      <c r="D17" s="15">
        <v>45209</v>
      </c>
      <c r="E17" s="16">
        <f ca="1">RANDBETWEEN(100,160)</f>
        <v>105</v>
      </c>
      <c r="F17" s="20">
        <f ca="1">(E17/160)*10</f>
        <v>6.5625</v>
      </c>
      <c r="G17" s="16">
        <f ca="1">RANDBETWEEN(5,10)</f>
        <v>8</v>
      </c>
      <c r="H17" s="21">
        <f ca="1">G17/E17*100</f>
        <v>7.6190476190476195</v>
      </c>
      <c r="I17" s="23">
        <f ca="1" xml:space="preserve"> (H17*0.5) + (F17*0.3) + (G17*0.2)</f>
        <v>7.3782738095238098</v>
      </c>
      <c r="J17" s="9" t="str">
        <f ca="1">IF(I17&gt;=8,"Excellent",IF(I17&gt;=6,"Good","Needs Improvement"))</f>
        <v>Good</v>
      </c>
      <c r="K17" s="16">
        <f ca="1">IF(I17&gt;=8,9000,IF(I17&gt;=6,6000,4000))</f>
        <v>6000</v>
      </c>
    </row>
    <row r="18" spans="1:11">
      <c r="A18" s="2" t="s">
        <v>96</v>
      </c>
      <c r="B18" s="13" t="s">
        <v>4</v>
      </c>
      <c r="C18" s="13" t="s">
        <v>235</v>
      </c>
      <c r="D18" s="15">
        <v>45664</v>
      </c>
      <c r="E18" s="16">
        <f ca="1">RANDBETWEEN(100,160)</f>
        <v>148</v>
      </c>
      <c r="F18" s="20">
        <f ca="1">(E18/160)*10</f>
        <v>9.25</v>
      </c>
      <c r="G18" s="16">
        <f ca="1">RANDBETWEEN(5,10)</f>
        <v>10</v>
      </c>
      <c r="H18" s="21">
        <f ca="1">G18/E18*100</f>
        <v>6.756756756756757</v>
      </c>
      <c r="I18" s="23">
        <f ca="1" xml:space="preserve"> (H18*0.5) + (F18*0.3) + (G18*0.2)</f>
        <v>8.1533783783783775</v>
      </c>
      <c r="J18" s="9" t="str">
        <f ca="1">IF(I18&gt;=8,"Excellent",IF(I18&gt;=6,"Good","Needs Improvement"))</f>
        <v>Excellent</v>
      </c>
      <c r="K18" s="16">
        <f ca="1">IF(I18&gt;=8,9000,IF(I18&gt;=6,6000,4000))</f>
        <v>9000</v>
      </c>
    </row>
    <row r="19" spans="1:11">
      <c r="A19" s="2" t="s">
        <v>168</v>
      </c>
      <c r="B19" s="13" t="s">
        <v>4</v>
      </c>
      <c r="C19" s="13" t="s">
        <v>234</v>
      </c>
      <c r="D19" s="15">
        <v>44812</v>
      </c>
      <c r="E19" s="16">
        <f ca="1">RANDBETWEEN(100,160)</f>
        <v>144</v>
      </c>
      <c r="F19" s="20">
        <f ca="1">(E19/160)*10</f>
        <v>9</v>
      </c>
      <c r="G19" s="16">
        <f ca="1">RANDBETWEEN(5,10)</f>
        <v>7</v>
      </c>
      <c r="H19" s="21">
        <f ca="1">G19/E19*100</f>
        <v>4.8611111111111116</v>
      </c>
      <c r="I19" s="23">
        <f ca="1" xml:space="preserve"> (H19*0.5) + (F19*0.3) + (G19*0.2)</f>
        <v>6.5305555555555559</v>
      </c>
      <c r="J19" s="9" t="str">
        <f ca="1">IF(I19&gt;=8,"Excellent",IF(I19&gt;=6,"Good","Needs Improvement"))</f>
        <v>Good</v>
      </c>
      <c r="K19" s="16">
        <f ca="1">IF(I19&gt;=8,9000,IF(I19&gt;=6,6000,4000))</f>
        <v>6000</v>
      </c>
    </row>
    <row r="20" spans="1:11">
      <c r="A20" s="2" t="s">
        <v>9</v>
      </c>
      <c r="B20" s="13" t="s">
        <v>220</v>
      </c>
      <c r="C20" s="13" t="s">
        <v>222</v>
      </c>
      <c r="D20" s="15">
        <v>45142</v>
      </c>
      <c r="E20" s="16">
        <f ca="1">RANDBETWEEN(100,160)</f>
        <v>157</v>
      </c>
      <c r="F20" s="20">
        <f ca="1">(E20/160)*10</f>
        <v>9.8125</v>
      </c>
      <c r="G20" s="16">
        <f ca="1">RANDBETWEEN(5,10)</f>
        <v>5</v>
      </c>
      <c r="H20" s="21">
        <f ca="1">G20/E20*100</f>
        <v>3.1847133757961785</v>
      </c>
      <c r="I20" s="23">
        <f ca="1" xml:space="preserve"> (H20*0.5) + (F20*0.3) + (G20*0.2)</f>
        <v>5.5361066878980889</v>
      </c>
      <c r="J20" s="9" t="str">
        <f ca="1">IF(I20&gt;=8,"Excellent",IF(I20&gt;=6,"Good","Needs Improvement"))</f>
        <v>Needs Improvement</v>
      </c>
      <c r="K20" s="16">
        <f ca="1">IF(I20&gt;=8,9000,IF(I20&gt;=6,6000,4000))</f>
        <v>4000</v>
      </c>
    </row>
    <row r="21" spans="1:11">
      <c r="A21" s="2" t="s">
        <v>172</v>
      </c>
      <c r="B21" s="13" t="s">
        <v>4</v>
      </c>
      <c r="C21" s="13" t="s">
        <v>238</v>
      </c>
      <c r="D21" s="15">
        <v>44848</v>
      </c>
      <c r="E21" s="16">
        <f ca="1">RANDBETWEEN(100,160)</f>
        <v>155</v>
      </c>
      <c r="F21" s="20">
        <f ca="1">(E21/160)*10</f>
        <v>9.6875</v>
      </c>
      <c r="G21" s="16">
        <f ca="1">RANDBETWEEN(5,10)</f>
        <v>9</v>
      </c>
      <c r="H21" s="21">
        <f ca="1">G21/E21*100</f>
        <v>5.806451612903226</v>
      </c>
      <c r="I21" s="23">
        <f ca="1" xml:space="preserve"> (H21*0.5) + (F21*0.3) + (G21*0.2)</f>
        <v>7.6094758064516128</v>
      </c>
      <c r="J21" s="9" t="str">
        <f ca="1">IF(I21&gt;=8,"Excellent",IF(I21&gt;=6,"Good","Needs Improvement"))</f>
        <v>Good</v>
      </c>
      <c r="K21" s="16">
        <f ca="1">IF(I21&gt;=8,9000,IF(I21&gt;=6,6000,4000))</f>
        <v>6000</v>
      </c>
    </row>
    <row r="22" spans="1:11">
      <c r="A22" s="2" t="s">
        <v>189</v>
      </c>
      <c r="B22" s="13" t="s">
        <v>2</v>
      </c>
      <c r="C22" s="13" t="s">
        <v>227</v>
      </c>
      <c r="D22" s="15">
        <v>45485</v>
      </c>
      <c r="E22" s="16">
        <f ca="1">RANDBETWEEN(100,160)</f>
        <v>125</v>
      </c>
      <c r="F22" s="20">
        <f ca="1">(E22/160)*10</f>
        <v>7.8125</v>
      </c>
      <c r="G22" s="16">
        <f ca="1">RANDBETWEEN(5,10)</f>
        <v>5</v>
      </c>
      <c r="H22" s="21">
        <f ca="1">G22/E22*100</f>
        <v>4</v>
      </c>
      <c r="I22" s="23">
        <f ca="1" xml:space="preserve"> (H22*0.5) + (F22*0.3) + (G22*0.2)</f>
        <v>5.34375</v>
      </c>
      <c r="J22" s="9" t="str">
        <f ca="1">IF(I22&gt;=8,"Excellent",IF(I22&gt;=6,"Good","Needs Improvement"))</f>
        <v>Needs Improvement</v>
      </c>
      <c r="K22" s="16">
        <f ca="1">IF(I22&gt;=8,9000,IF(I22&gt;=6,6000,4000))</f>
        <v>4000</v>
      </c>
    </row>
    <row r="23" spans="1:11">
      <c r="A23" s="2" t="s">
        <v>45</v>
      </c>
      <c r="B23" s="13" t="s">
        <v>4</v>
      </c>
      <c r="C23" s="13" t="s">
        <v>234</v>
      </c>
      <c r="D23" s="15">
        <v>45852</v>
      </c>
      <c r="E23" s="16">
        <f ca="1">RANDBETWEEN(100,160)</f>
        <v>160</v>
      </c>
      <c r="F23" s="20">
        <f ca="1">(E23/160)*10</f>
        <v>10</v>
      </c>
      <c r="G23" s="16">
        <f ca="1">RANDBETWEEN(5,10)</f>
        <v>7</v>
      </c>
      <c r="H23" s="21">
        <f ca="1">G23/E23*100</f>
        <v>4.375</v>
      </c>
      <c r="I23" s="23">
        <f ca="1" xml:space="preserve"> (H23*0.5) + (F23*0.3) + (G23*0.2)</f>
        <v>6.5875000000000004</v>
      </c>
      <c r="J23" s="9" t="str">
        <f ca="1">IF(I23&gt;=8,"Excellent",IF(I23&gt;=6,"Good","Needs Improvement"))</f>
        <v>Good</v>
      </c>
      <c r="K23" s="16">
        <f ca="1">IF(I23&gt;=8,9000,IF(I23&gt;=6,6000,4000))</f>
        <v>6000</v>
      </c>
    </row>
    <row r="24" spans="1:11">
      <c r="A24" s="2" t="s">
        <v>188</v>
      </c>
      <c r="B24" s="13" t="s">
        <v>2</v>
      </c>
      <c r="C24" s="13" t="s">
        <v>229</v>
      </c>
      <c r="D24" s="15">
        <v>45481</v>
      </c>
      <c r="E24" s="16">
        <f ca="1">RANDBETWEEN(100,160)</f>
        <v>115</v>
      </c>
      <c r="F24" s="20">
        <f ca="1">(E24/160)*10</f>
        <v>7.1875</v>
      </c>
      <c r="G24" s="16">
        <f ca="1">RANDBETWEEN(5,10)</f>
        <v>6</v>
      </c>
      <c r="H24" s="21">
        <f ca="1">G24/E24*100</f>
        <v>5.2173913043478262</v>
      </c>
      <c r="I24" s="23">
        <f ca="1" xml:space="preserve"> (H24*0.5) + (F24*0.3) + (G24*0.2)</f>
        <v>5.9649456521739133</v>
      </c>
      <c r="J24" s="9" t="str">
        <f ca="1">IF(I24&gt;=8,"Excellent",IF(I24&gt;=6,"Good","Needs Improvement"))</f>
        <v>Needs Improvement</v>
      </c>
      <c r="K24" s="16">
        <f ca="1">IF(I24&gt;=8,9000,IF(I24&gt;=6,6000,4000))</f>
        <v>4000</v>
      </c>
    </row>
    <row r="25" spans="1:11">
      <c r="A25" s="2" t="s">
        <v>83</v>
      </c>
      <c r="B25" s="13" t="s">
        <v>2</v>
      </c>
      <c r="C25" s="13" t="s">
        <v>229</v>
      </c>
      <c r="D25" s="15">
        <v>45379</v>
      </c>
      <c r="E25" s="16">
        <f ca="1">RANDBETWEEN(100,160)</f>
        <v>117</v>
      </c>
      <c r="F25" s="20">
        <f ca="1">(E25/160)*10</f>
        <v>7.3125</v>
      </c>
      <c r="G25" s="16">
        <f ca="1">RANDBETWEEN(5,10)</f>
        <v>7</v>
      </c>
      <c r="H25" s="21">
        <f ca="1">G25/E25*100</f>
        <v>5.982905982905983</v>
      </c>
      <c r="I25" s="23">
        <f ca="1" xml:space="preserve"> (H25*0.5) + (F25*0.3) + (G25*0.2)</f>
        <v>6.5852029914529915</v>
      </c>
      <c r="J25" s="9" t="str">
        <f ca="1">IF(I25&gt;=8,"Excellent",IF(I25&gt;=6,"Good","Needs Improvement"))</f>
        <v>Good</v>
      </c>
      <c r="K25" s="16">
        <f ca="1">IF(I25&gt;=8,9000,IF(I25&gt;=6,6000,4000))</f>
        <v>6000</v>
      </c>
    </row>
    <row r="26" spans="1:11">
      <c r="A26" s="2" t="s">
        <v>144</v>
      </c>
      <c r="B26" s="13" t="s">
        <v>1</v>
      </c>
      <c r="C26" s="13" t="s">
        <v>224</v>
      </c>
      <c r="D26" s="15">
        <v>45819</v>
      </c>
      <c r="E26" s="16">
        <f ca="1">RANDBETWEEN(100,160)</f>
        <v>133</v>
      </c>
      <c r="F26" s="20">
        <f ca="1">(E26/160)*10</f>
        <v>8.3125</v>
      </c>
      <c r="G26" s="16">
        <f ca="1">RANDBETWEEN(5,10)</f>
        <v>8</v>
      </c>
      <c r="H26" s="21">
        <f ca="1">G26/E26*100</f>
        <v>6.0150375939849621</v>
      </c>
      <c r="I26" s="23">
        <f ca="1" xml:space="preserve"> (H26*0.5) + (F26*0.3) + (G26*0.2)</f>
        <v>7.1012687969924801</v>
      </c>
      <c r="J26" s="9" t="str">
        <f ca="1">IF(I26&gt;=8,"Excellent",IF(I26&gt;=6,"Good","Needs Improvement"))</f>
        <v>Good</v>
      </c>
      <c r="K26" s="16">
        <f ca="1">IF(I26&gt;=8,9000,IF(I26&gt;=6,6000,4000))</f>
        <v>6000</v>
      </c>
    </row>
    <row r="27" spans="1:11">
      <c r="A27" s="2" t="s">
        <v>137</v>
      </c>
      <c r="B27" s="13" t="s">
        <v>220</v>
      </c>
      <c r="C27" s="13" t="s">
        <v>221</v>
      </c>
      <c r="D27" s="15">
        <v>45658</v>
      </c>
      <c r="E27" s="16">
        <f ca="1">RANDBETWEEN(100,160)</f>
        <v>123</v>
      </c>
      <c r="F27" s="20">
        <f ca="1">(E27/160)*10</f>
        <v>7.6875</v>
      </c>
      <c r="G27" s="16">
        <f ca="1">RANDBETWEEN(5,10)</f>
        <v>9</v>
      </c>
      <c r="H27" s="21">
        <f ca="1">G27/E27*100</f>
        <v>7.3170731707317067</v>
      </c>
      <c r="I27" s="23">
        <f ca="1" xml:space="preserve"> (H27*0.5) + (F27*0.3) + (G27*0.2)</f>
        <v>7.7647865853658535</v>
      </c>
      <c r="J27" s="9" t="str">
        <f ca="1">IF(I27&gt;=8,"Excellent",IF(I27&gt;=6,"Good","Needs Improvement"))</f>
        <v>Good</v>
      </c>
      <c r="K27" s="16">
        <f ca="1">IF(I27&gt;=8,9000,IF(I27&gt;=6,6000,4000))</f>
        <v>6000</v>
      </c>
    </row>
    <row r="28" spans="1:11">
      <c r="A28" s="2" t="s">
        <v>166</v>
      </c>
      <c r="B28" s="13" t="s">
        <v>3</v>
      </c>
      <c r="C28" s="13" t="s">
        <v>230</v>
      </c>
      <c r="D28" s="15">
        <v>44788</v>
      </c>
      <c r="E28" s="16">
        <f ca="1">RANDBETWEEN(100,160)</f>
        <v>113</v>
      </c>
      <c r="F28" s="20">
        <f ca="1">(E28/160)*10</f>
        <v>7.0625</v>
      </c>
      <c r="G28" s="16">
        <f ca="1">RANDBETWEEN(5,10)</f>
        <v>5</v>
      </c>
      <c r="H28" s="21">
        <f ca="1">G28/E28*100</f>
        <v>4.4247787610619467</v>
      </c>
      <c r="I28" s="23">
        <f ca="1" xml:space="preserve"> (H28*0.5) + (F28*0.3) + (G28*0.2)</f>
        <v>5.3311393805309732</v>
      </c>
      <c r="J28" s="9" t="str">
        <f ca="1">IF(I28&gt;=8,"Excellent",IF(I28&gt;=6,"Good","Needs Improvement"))</f>
        <v>Needs Improvement</v>
      </c>
      <c r="K28" s="16">
        <f ca="1">IF(I28&gt;=8,9000,IF(I28&gt;=6,6000,4000))</f>
        <v>4000</v>
      </c>
    </row>
    <row r="29" spans="1:11">
      <c r="A29" s="2" t="s">
        <v>71</v>
      </c>
      <c r="B29" s="13" t="s">
        <v>1</v>
      </c>
      <c r="C29" s="13" t="s">
        <v>224</v>
      </c>
      <c r="D29" s="15">
        <v>44841</v>
      </c>
      <c r="E29" s="16">
        <f ca="1">RANDBETWEEN(100,160)</f>
        <v>121</v>
      </c>
      <c r="F29" s="20">
        <f ca="1">(E29/160)*10</f>
        <v>7.5625</v>
      </c>
      <c r="G29" s="16">
        <f ca="1">RANDBETWEEN(5,10)</f>
        <v>5</v>
      </c>
      <c r="H29" s="21">
        <f ca="1">G29/E29*100</f>
        <v>4.1322314049586781</v>
      </c>
      <c r="I29" s="23">
        <f ca="1" xml:space="preserve"> (H29*0.5) + (F29*0.3) + (G29*0.2)</f>
        <v>5.3348657024793393</v>
      </c>
      <c r="J29" s="9" t="str">
        <f ca="1">IF(I29&gt;=8,"Excellent",IF(I29&gt;=6,"Good","Needs Improvement"))</f>
        <v>Needs Improvement</v>
      </c>
      <c r="K29" s="16">
        <f ca="1">IF(I29&gt;=8,9000,IF(I29&gt;=6,6000,4000))</f>
        <v>4000</v>
      </c>
    </row>
    <row r="30" spans="1:11">
      <c r="A30" s="2" t="s">
        <v>129</v>
      </c>
      <c r="B30" s="13" t="s">
        <v>220</v>
      </c>
      <c r="C30" s="13" t="s">
        <v>222</v>
      </c>
      <c r="D30" s="15">
        <v>46059</v>
      </c>
      <c r="E30" s="16">
        <f ca="1">RANDBETWEEN(100,160)</f>
        <v>121</v>
      </c>
      <c r="F30" s="20">
        <f ca="1">(E30/160)*10</f>
        <v>7.5625</v>
      </c>
      <c r="G30" s="16">
        <f ca="1">RANDBETWEEN(5,10)</f>
        <v>5</v>
      </c>
      <c r="H30" s="21">
        <f ca="1">G30/E30*100</f>
        <v>4.1322314049586781</v>
      </c>
      <c r="I30" s="23">
        <f ca="1" xml:space="preserve"> (H30*0.5) + (F30*0.3) + (G30*0.2)</f>
        <v>5.3348657024793393</v>
      </c>
      <c r="J30" s="9" t="str">
        <f ca="1">IF(I30&gt;=8,"Excellent",IF(I30&gt;=6,"Good","Needs Improvement"))</f>
        <v>Needs Improvement</v>
      </c>
      <c r="K30" s="16">
        <f ca="1">IF(I30&gt;=8,9000,IF(I30&gt;=6,6000,4000))</f>
        <v>4000</v>
      </c>
    </row>
    <row r="31" spans="1:11">
      <c r="A31" s="2" t="s">
        <v>44</v>
      </c>
      <c r="B31" s="13" t="s">
        <v>3</v>
      </c>
      <c r="C31" s="13" t="s">
        <v>231</v>
      </c>
      <c r="D31" s="15">
        <v>45819</v>
      </c>
      <c r="E31" s="16">
        <f ca="1">RANDBETWEEN(100,160)</f>
        <v>156</v>
      </c>
      <c r="F31" s="20">
        <f ca="1">(E31/160)*10</f>
        <v>9.75</v>
      </c>
      <c r="G31" s="16">
        <f ca="1">RANDBETWEEN(5,10)</f>
        <v>10</v>
      </c>
      <c r="H31" s="21">
        <f ca="1">G31/E31*100</f>
        <v>6.4102564102564097</v>
      </c>
      <c r="I31" s="23">
        <f ca="1" xml:space="preserve"> (H31*0.5) + (F31*0.3) + (G31*0.2)</f>
        <v>8.1301282051282051</v>
      </c>
      <c r="J31" s="9" t="str">
        <f ca="1">IF(I31&gt;=8,"Excellent",IF(I31&gt;=6,"Good","Needs Improvement"))</f>
        <v>Excellent</v>
      </c>
      <c r="K31" s="16">
        <f ca="1">IF(I31&gt;=8,9000,IF(I31&gt;=6,6000,4000))</f>
        <v>9000</v>
      </c>
    </row>
    <row r="32" spans="1:11">
      <c r="A32" s="2" t="s">
        <v>152</v>
      </c>
      <c r="B32" s="13" t="s">
        <v>2</v>
      </c>
      <c r="C32" s="13" t="s">
        <v>228</v>
      </c>
      <c r="D32" s="15">
        <v>46091</v>
      </c>
      <c r="E32" s="16">
        <f ca="1">RANDBETWEEN(100,160)</f>
        <v>116</v>
      </c>
      <c r="F32" s="20">
        <f ca="1">(E32/160)*10</f>
        <v>7.25</v>
      </c>
      <c r="G32" s="16">
        <f ca="1">RANDBETWEEN(5,10)</f>
        <v>9</v>
      </c>
      <c r="H32" s="21">
        <f ca="1">G32/E32*100</f>
        <v>7.7586206896551726</v>
      </c>
      <c r="I32" s="23">
        <f ca="1" xml:space="preserve"> (H32*0.5) + (F32*0.3) + (G32*0.2)</f>
        <v>7.8543103448275859</v>
      </c>
      <c r="J32" s="9" t="str">
        <f ca="1">IF(I32&gt;=8,"Excellent",IF(I32&gt;=6,"Good","Needs Improvement"))</f>
        <v>Good</v>
      </c>
      <c r="K32" s="16">
        <f ca="1">IF(I32&gt;=8,9000,IF(I32&gt;=6,6000,4000))</f>
        <v>6000</v>
      </c>
    </row>
    <row r="33" spans="1:11">
      <c r="A33" s="2" t="s">
        <v>202</v>
      </c>
      <c r="B33" s="13" t="s">
        <v>4</v>
      </c>
      <c r="C33" s="13" t="s">
        <v>236</v>
      </c>
      <c r="D33" s="15">
        <v>45736</v>
      </c>
      <c r="E33" s="16">
        <f ca="1">RANDBETWEEN(100,160)</f>
        <v>121</v>
      </c>
      <c r="F33" s="20">
        <f ca="1">(E33/160)*10</f>
        <v>7.5625</v>
      </c>
      <c r="G33" s="16">
        <f ca="1">RANDBETWEEN(5,10)</f>
        <v>7</v>
      </c>
      <c r="H33" s="21">
        <f ca="1">G33/E33*100</f>
        <v>5.785123966942149</v>
      </c>
      <c r="I33" s="23">
        <f ca="1" xml:space="preserve"> (H33*0.5) + (F33*0.3) + (G33*0.2)</f>
        <v>6.5613119834710751</v>
      </c>
      <c r="J33" s="9" t="str">
        <f ca="1">IF(I33&gt;=8,"Excellent",IF(I33&gt;=6,"Good","Needs Improvement"))</f>
        <v>Good</v>
      </c>
      <c r="K33" s="16">
        <f ca="1">IF(I33&gt;=8,9000,IF(I33&gt;=6,6000,4000))</f>
        <v>6000</v>
      </c>
    </row>
    <row r="34" spans="1:11">
      <c r="A34" s="2" t="s">
        <v>194</v>
      </c>
      <c r="B34" s="13" t="s">
        <v>3</v>
      </c>
      <c r="C34" s="13" t="s">
        <v>230</v>
      </c>
      <c r="D34" s="15">
        <v>45593</v>
      </c>
      <c r="E34" s="16">
        <f ca="1">RANDBETWEEN(100,160)</f>
        <v>149</v>
      </c>
      <c r="F34" s="20">
        <f ca="1">(E34/160)*10</f>
        <v>9.3125</v>
      </c>
      <c r="G34" s="16">
        <f ca="1">RANDBETWEEN(5,10)</f>
        <v>10</v>
      </c>
      <c r="H34" s="21">
        <f ca="1">G34/E34*100</f>
        <v>6.7114093959731544</v>
      </c>
      <c r="I34" s="23">
        <f ca="1" xml:space="preserve"> (H34*0.5) + (F34*0.3) + (G34*0.2)</f>
        <v>8.1494546979865774</v>
      </c>
      <c r="J34" s="9" t="str">
        <f ca="1">IF(I34&gt;=8,"Excellent",IF(I34&gt;=6,"Good","Needs Improvement"))</f>
        <v>Excellent</v>
      </c>
      <c r="K34" s="16">
        <f ca="1">IF(I34&gt;=8,9000,IF(I34&gt;=6,6000,4000))</f>
        <v>9000</v>
      </c>
    </row>
    <row r="35" spans="1:11">
      <c r="A35" s="2" t="s">
        <v>147</v>
      </c>
      <c r="B35" s="13" t="s">
        <v>1</v>
      </c>
      <c r="C35" s="13" t="s">
        <v>224</v>
      </c>
      <c r="D35" s="15">
        <v>45895</v>
      </c>
      <c r="E35" s="16">
        <f ca="1">RANDBETWEEN(100,160)</f>
        <v>109</v>
      </c>
      <c r="F35" s="20">
        <f ca="1">(E35/160)*10</f>
        <v>6.8125</v>
      </c>
      <c r="G35" s="16">
        <f ca="1">RANDBETWEEN(5,10)</f>
        <v>5</v>
      </c>
      <c r="H35" s="21">
        <f ca="1">G35/E35*100</f>
        <v>4.5871559633027523</v>
      </c>
      <c r="I35" s="23">
        <f ca="1" xml:space="preserve"> (H35*0.5) + (F35*0.3) + (G35*0.2)</f>
        <v>5.3373279816513755</v>
      </c>
      <c r="J35" s="9" t="str">
        <f ca="1">IF(I35&gt;=8,"Excellent",IF(I35&gt;=6,"Good","Needs Improvement"))</f>
        <v>Needs Improvement</v>
      </c>
      <c r="K35" s="16">
        <f ca="1">IF(I35&gt;=8,9000,IF(I35&gt;=6,6000,4000))</f>
        <v>4000</v>
      </c>
    </row>
    <row r="36" spans="1:11">
      <c r="A36" s="2" t="s">
        <v>112</v>
      </c>
      <c r="B36" s="13" t="s">
        <v>3</v>
      </c>
      <c r="C36" s="13" t="s">
        <v>230</v>
      </c>
      <c r="D36" s="15">
        <v>45237</v>
      </c>
      <c r="E36" s="16">
        <f ca="1">RANDBETWEEN(100,160)</f>
        <v>143</v>
      </c>
      <c r="F36" s="20">
        <f ca="1">(E36/160)*10</f>
        <v>8.9375</v>
      </c>
      <c r="G36" s="16">
        <f ca="1">RANDBETWEEN(5,10)</f>
        <v>5</v>
      </c>
      <c r="H36" s="21">
        <f ca="1">G36/E36*100</f>
        <v>3.4965034965034967</v>
      </c>
      <c r="I36" s="23">
        <f ca="1" xml:space="preserve"> (H36*0.5) + (F36*0.3) + (G36*0.2)</f>
        <v>5.4295017482517487</v>
      </c>
      <c r="J36" s="9" t="str">
        <f ca="1">IF(I36&gt;=8,"Excellent",IF(I36&gt;=6,"Good","Needs Improvement"))</f>
        <v>Needs Improvement</v>
      </c>
      <c r="K36" s="16">
        <f ca="1">IF(I36&gt;=8,9000,IF(I36&gt;=6,6000,4000))</f>
        <v>4000</v>
      </c>
    </row>
    <row r="37" spans="1:11">
      <c r="A37" s="2" t="s">
        <v>171</v>
      </c>
      <c r="B37" s="13" t="s">
        <v>4</v>
      </c>
      <c r="C37" s="13" t="s">
        <v>237</v>
      </c>
      <c r="D37" s="15">
        <v>44841</v>
      </c>
      <c r="E37" s="16">
        <f ca="1">RANDBETWEEN(100,160)</f>
        <v>116</v>
      </c>
      <c r="F37" s="20">
        <f ca="1">(E37/160)*10</f>
        <v>7.25</v>
      </c>
      <c r="G37" s="16">
        <f ca="1">RANDBETWEEN(5,10)</f>
        <v>5</v>
      </c>
      <c r="H37" s="21">
        <f ca="1">G37/E37*100</f>
        <v>4.3103448275862073</v>
      </c>
      <c r="I37" s="23">
        <f ca="1" xml:space="preserve"> (H37*0.5) + (F37*0.3) + (G37*0.2)</f>
        <v>5.3301724137931039</v>
      </c>
      <c r="J37" s="9" t="str">
        <f ca="1">IF(I37&gt;=8,"Excellent",IF(I37&gt;=6,"Good","Needs Improvement"))</f>
        <v>Needs Improvement</v>
      </c>
      <c r="K37" s="16">
        <f ca="1">IF(I37&gt;=8,9000,IF(I37&gt;=6,6000,4000))</f>
        <v>4000</v>
      </c>
    </row>
    <row r="38" spans="1:11">
      <c r="A38" s="2" t="s">
        <v>186</v>
      </c>
      <c r="B38" s="13" t="s">
        <v>2</v>
      </c>
      <c r="C38" s="13" t="s">
        <v>227</v>
      </c>
      <c r="D38" s="15">
        <v>45413</v>
      </c>
      <c r="E38" s="16">
        <f ca="1">RANDBETWEEN(100,160)</f>
        <v>111</v>
      </c>
      <c r="F38" s="20">
        <f ca="1">(E38/160)*10</f>
        <v>6.9375</v>
      </c>
      <c r="G38" s="16">
        <f ca="1">RANDBETWEEN(5,10)</f>
        <v>5</v>
      </c>
      <c r="H38" s="21">
        <f ca="1">G38/E38*100</f>
        <v>4.5045045045045047</v>
      </c>
      <c r="I38" s="23">
        <f ca="1" xml:space="preserve"> (H38*0.5) + (F38*0.3) + (G38*0.2)</f>
        <v>5.3335022522522522</v>
      </c>
      <c r="J38" s="9" t="str">
        <f ca="1">IF(I38&gt;=8,"Excellent",IF(I38&gt;=6,"Good","Needs Improvement"))</f>
        <v>Needs Improvement</v>
      </c>
      <c r="K38" s="16">
        <f ca="1">IF(I38&gt;=8,9000,IF(I38&gt;=6,6000,4000))</f>
        <v>4000</v>
      </c>
    </row>
    <row r="39" spans="1:11">
      <c r="A39" s="2" t="s">
        <v>58</v>
      </c>
      <c r="B39" s="13" t="s">
        <v>220</v>
      </c>
      <c r="C39" s="13" t="s">
        <v>221</v>
      </c>
      <c r="D39" s="15">
        <v>44664</v>
      </c>
      <c r="E39" s="16">
        <f ca="1">RANDBETWEEN(100,160)</f>
        <v>151</v>
      </c>
      <c r="F39" s="20">
        <f ca="1">(E39/160)*10</f>
        <v>9.4375</v>
      </c>
      <c r="G39" s="16">
        <f ca="1">RANDBETWEEN(5,10)</f>
        <v>6</v>
      </c>
      <c r="H39" s="21">
        <f ca="1">G39/E39*100</f>
        <v>3.9735099337748347</v>
      </c>
      <c r="I39" s="23">
        <f ca="1" xml:space="preserve"> (H39*0.5) + (F39*0.3) + (G39*0.2)</f>
        <v>6.0180049668874176</v>
      </c>
      <c r="J39" s="9" t="str">
        <f ca="1">IF(I39&gt;=8,"Excellent",IF(I39&gt;=6,"Good","Needs Improvement"))</f>
        <v>Good</v>
      </c>
      <c r="K39" s="16">
        <f ca="1">IF(I39&gt;=8,9000,IF(I39&gt;=6,6000,4000))</f>
        <v>6000</v>
      </c>
    </row>
    <row r="40" spans="1:11">
      <c r="A40" s="2" t="s">
        <v>157</v>
      </c>
      <c r="B40" s="13" t="s">
        <v>2</v>
      </c>
      <c r="C40" s="13" t="s">
        <v>227</v>
      </c>
      <c r="D40" s="15">
        <v>44662</v>
      </c>
      <c r="E40" s="16">
        <f ca="1">RANDBETWEEN(100,160)</f>
        <v>157</v>
      </c>
      <c r="F40" s="20">
        <f ca="1">(E40/160)*10</f>
        <v>9.8125</v>
      </c>
      <c r="G40" s="16">
        <f ca="1">RANDBETWEEN(5,10)</f>
        <v>8</v>
      </c>
      <c r="H40" s="21">
        <f ca="1">G40/E40*100</f>
        <v>5.095541401273886</v>
      </c>
      <c r="I40" s="23">
        <f ca="1" xml:space="preserve"> (H40*0.5) + (F40*0.3) + (G40*0.2)</f>
        <v>7.0915207006369432</v>
      </c>
      <c r="J40" s="9" t="str">
        <f ca="1">IF(I40&gt;=8,"Excellent",IF(I40&gt;=6,"Good","Needs Improvement"))</f>
        <v>Good</v>
      </c>
      <c r="K40" s="16">
        <f ca="1">IF(I40&gt;=8,9000,IF(I40&gt;=6,6000,4000))</f>
        <v>6000</v>
      </c>
    </row>
    <row r="41" spans="1:11">
      <c r="A41" s="2" t="s">
        <v>66</v>
      </c>
      <c r="B41" s="13" t="s">
        <v>1</v>
      </c>
      <c r="C41" s="13" t="s">
        <v>225</v>
      </c>
      <c r="D41" s="15">
        <v>44788</v>
      </c>
      <c r="E41" s="16">
        <f ca="1">RANDBETWEEN(100,160)</f>
        <v>159</v>
      </c>
      <c r="F41" s="20">
        <f ca="1">(E41/160)*10</f>
        <v>9.9375</v>
      </c>
      <c r="G41" s="16">
        <f ca="1">RANDBETWEEN(5,10)</f>
        <v>6</v>
      </c>
      <c r="H41" s="21">
        <f ca="1">G41/E41*100</f>
        <v>3.7735849056603774</v>
      </c>
      <c r="I41" s="23">
        <f ca="1" xml:space="preserve"> (H41*0.5) + (F41*0.3) + (G41*0.2)</f>
        <v>6.0680424528301886</v>
      </c>
      <c r="J41" s="9" t="str">
        <f ca="1">IF(I41&gt;=8,"Excellent",IF(I41&gt;=6,"Good","Needs Improvement"))</f>
        <v>Good</v>
      </c>
      <c r="K41" s="16">
        <f ca="1">IF(I41&gt;=8,9000,IF(I41&gt;=6,6000,4000))</f>
        <v>6000</v>
      </c>
    </row>
    <row r="42" spans="1:11">
      <c r="A42" s="2" t="s">
        <v>191</v>
      </c>
      <c r="B42" s="13" t="s">
        <v>3</v>
      </c>
      <c r="C42" s="13" t="s">
        <v>231</v>
      </c>
      <c r="D42" s="15">
        <v>45541</v>
      </c>
      <c r="E42" s="16">
        <f ca="1">RANDBETWEEN(100,160)</f>
        <v>146</v>
      </c>
      <c r="F42" s="20">
        <f ca="1">(E42/160)*10</f>
        <v>9.125</v>
      </c>
      <c r="G42" s="16">
        <f ca="1">RANDBETWEEN(5,10)</f>
        <v>9</v>
      </c>
      <c r="H42" s="21">
        <f ca="1">G42/E42*100</f>
        <v>6.1643835616438354</v>
      </c>
      <c r="I42" s="23">
        <f ca="1" xml:space="preserve"> (H42*0.5) + (F42*0.3) + (G42*0.2)</f>
        <v>7.6196917808219178</v>
      </c>
      <c r="J42" s="9" t="str">
        <f ca="1">IF(I42&gt;=8,"Excellent",IF(I42&gt;=6,"Good","Needs Improvement"))</f>
        <v>Good</v>
      </c>
      <c r="K42" s="16">
        <f ca="1">IF(I42&gt;=8,9000,IF(I42&gt;=6,6000,4000))</f>
        <v>6000</v>
      </c>
    </row>
    <row r="43" spans="1:11">
      <c r="A43" s="2" t="s">
        <v>214</v>
      </c>
      <c r="B43" s="13" t="s">
        <v>220</v>
      </c>
      <c r="C43" s="13" t="s">
        <v>222</v>
      </c>
      <c r="D43" s="15">
        <v>44824</v>
      </c>
      <c r="E43" s="16">
        <f ca="1">RANDBETWEEN(100,160)</f>
        <v>142</v>
      </c>
      <c r="F43" s="20">
        <f ca="1">(E43/160)*10</f>
        <v>8.875</v>
      </c>
      <c r="G43" s="16">
        <f ca="1">RANDBETWEEN(5,10)</f>
        <v>5</v>
      </c>
      <c r="H43" s="21">
        <f ca="1">G43/E43*100</f>
        <v>3.5211267605633805</v>
      </c>
      <c r="I43" s="23">
        <f ca="1" xml:space="preserve"> (H43*0.5) + (F43*0.3) + (G43*0.2)</f>
        <v>5.4230633802816905</v>
      </c>
      <c r="J43" s="9" t="str">
        <f ca="1">IF(I43&gt;=8,"Excellent",IF(I43&gt;=6,"Good","Needs Improvement"))</f>
        <v>Needs Improvement</v>
      </c>
      <c r="K43" s="16">
        <f ca="1">IF(I43&gt;=8,9000,IF(I43&gt;=6,6000,4000))</f>
        <v>4000</v>
      </c>
    </row>
    <row r="44" spans="1:11">
      <c r="A44" s="2" t="s">
        <v>126</v>
      </c>
      <c r="B44" s="13" t="s">
        <v>4</v>
      </c>
      <c r="C44" s="13" t="s">
        <v>237</v>
      </c>
      <c r="D44" s="15">
        <v>46031</v>
      </c>
      <c r="E44" s="16">
        <f ca="1">RANDBETWEEN(100,160)</f>
        <v>134</v>
      </c>
      <c r="F44" s="20">
        <f ca="1">(E44/160)*10</f>
        <v>8.375</v>
      </c>
      <c r="G44" s="16">
        <f ca="1">RANDBETWEEN(5,10)</f>
        <v>5</v>
      </c>
      <c r="H44" s="21">
        <f ca="1">G44/E44*100</f>
        <v>3.7313432835820892</v>
      </c>
      <c r="I44" s="23">
        <f ca="1" xml:space="preserve"> (H44*0.5) + (F44*0.3) + (G44*0.2)</f>
        <v>5.3781716417910443</v>
      </c>
      <c r="J44" s="9" t="str">
        <f ca="1">IF(I44&gt;=8,"Excellent",IF(I44&gt;=6,"Good","Needs Improvement"))</f>
        <v>Needs Improvement</v>
      </c>
      <c r="K44" s="16">
        <f ca="1">IF(I44&gt;=8,9000,IF(I44&gt;=6,6000,4000))</f>
        <v>4000</v>
      </c>
    </row>
    <row r="45" spans="1:11">
      <c r="A45" s="2" t="s">
        <v>151</v>
      </c>
      <c r="B45" s="13" t="s">
        <v>2</v>
      </c>
      <c r="C45" s="13" t="s">
        <v>227</v>
      </c>
      <c r="D45" s="15">
        <v>46076</v>
      </c>
      <c r="E45" s="16">
        <f ca="1">RANDBETWEEN(100,160)</f>
        <v>135</v>
      </c>
      <c r="F45" s="20">
        <f ca="1">(E45/160)*10</f>
        <v>8.4375</v>
      </c>
      <c r="G45" s="16">
        <f ca="1">RANDBETWEEN(5,10)</f>
        <v>9</v>
      </c>
      <c r="H45" s="21">
        <f ca="1">G45/E45*100</f>
        <v>6.666666666666667</v>
      </c>
      <c r="I45" s="23">
        <f ca="1" xml:space="preserve"> (H45*0.5) + (F45*0.3) + (G45*0.2)</f>
        <v>7.6645833333333337</v>
      </c>
      <c r="J45" s="9" t="str">
        <f ca="1">IF(I45&gt;=8,"Excellent",IF(I45&gt;=6,"Good","Needs Improvement"))</f>
        <v>Good</v>
      </c>
      <c r="K45" s="16">
        <f ca="1">IF(I45&gt;=8,9000,IF(I45&gt;=6,6000,4000))</f>
        <v>6000</v>
      </c>
    </row>
    <row r="46" spans="1:11">
      <c r="A46" s="2" t="s">
        <v>160</v>
      </c>
      <c r="B46" s="13" t="s">
        <v>3</v>
      </c>
      <c r="C46" s="13" t="s">
        <v>232</v>
      </c>
      <c r="D46" s="15">
        <v>44679</v>
      </c>
      <c r="E46" s="16">
        <f ca="1">RANDBETWEEN(100,160)</f>
        <v>126</v>
      </c>
      <c r="F46" s="20">
        <f ca="1">(E46/160)*10</f>
        <v>7.875</v>
      </c>
      <c r="G46" s="16">
        <f ca="1">RANDBETWEEN(5,10)</f>
        <v>5</v>
      </c>
      <c r="H46" s="21">
        <f ca="1">G46/E46*100</f>
        <v>3.9682539682539679</v>
      </c>
      <c r="I46" s="23">
        <f ca="1" xml:space="preserve"> (H46*0.5) + (F46*0.3) + (G46*0.2)</f>
        <v>5.346626984126984</v>
      </c>
      <c r="J46" s="9" t="str">
        <f ca="1">IF(I46&gt;=8,"Excellent",IF(I46&gt;=6,"Good","Needs Improvement"))</f>
        <v>Needs Improvement</v>
      </c>
      <c r="K46" s="16">
        <f ca="1">IF(I46&gt;=8,9000,IF(I46&gt;=6,6000,4000))</f>
        <v>4000</v>
      </c>
    </row>
    <row r="47" spans="1:11">
      <c r="A47" s="2" t="s">
        <v>23</v>
      </c>
      <c r="B47" s="13" t="s">
        <v>1</v>
      </c>
      <c r="C47" s="13" t="s">
        <v>226</v>
      </c>
      <c r="D47" s="15">
        <v>45868</v>
      </c>
      <c r="E47" s="16">
        <f ca="1">RANDBETWEEN(100,160)</f>
        <v>111</v>
      </c>
      <c r="F47" s="20">
        <f ca="1">(E47/160)*10</f>
        <v>6.9375</v>
      </c>
      <c r="G47" s="16">
        <f ca="1">RANDBETWEEN(5,10)</f>
        <v>6</v>
      </c>
      <c r="H47" s="21">
        <f ca="1">G47/E47*100</f>
        <v>5.4054054054054053</v>
      </c>
      <c r="I47" s="23">
        <f ca="1" xml:space="preserve"> (H47*0.5) + (F47*0.3) + (G47*0.2)</f>
        <v>5.9839527027027026</v>
      </c>
      <c r="J47" s="9" t="str">
        <f ca="1">IF(I47&gt;=8,"Excellent",IF(I47&gt;=6,"Good","Needs Improvement"))</f>
        <v>Needs Improvement</v>
      </c>
      <c r="K47" s="16">
        <f ca="1">IF(I47&gt;=8,9000,IF(I47&gt;=6,6000,4000))</f>
        <v>4000</v>
      </c>
    </row>
    <row r="48" spans="1:11">
      <c r="A48" s="2" t="s">
        <v>48</v>
      </c>
      <c r="B48" s="13" t="s">
        <v>4</v>
      </c>
      <c r="C48" s="13" t="s">
        <v>237</v>
      </c>
      <c r="D48" s="15">
        <v>45987</v>
      </c>
      <c r="E48" s="16">
        <f ca="1">RANDBETWEEN(100,160)</f>
        <v>132</v>
      </c>
      <c r="F48" s="20">
        <f ca="1">(E48/160)*10</f>
        <v>8.25</v>
      </c>
      <c r="G48" s="16">
        <f ca="1">RANDBETWEEN(5,10)</f>
        <v>6</v>
      </c>
      <c r="H48" s="21">
        <f ca="1">G48/E48*100</f>
        <v>4.5454545454545459</v>
      </c>
      <c r="I48" s="23">
        <f ca="1" xml:space="preserve"> (H48*0.5) + (F48*0.3) + (G48*0.2)</f>
        <v>5.9477272727272732</v>
      </c>
      <c r="J48" s="9" t="str">
        <f ca="1">IF(I48&gt;=8,"Excellent",IF(I48&gt;=6,"Good","Needs Improvement"))</f>
        <v>Needs Improvement</v>
      </c>
      <c r="K48" s="16">
        <f ca="1">IF(I48&gt;=8,9000,IF(I48&gt;=6,6000,4000))</f>
        <v>4000</v>
      </c>
    </row>
    <row r="49" spans="1:11">
      <c r="A49" s="2" t="s">
        <v>81</v>
      </c>
      <c r="B49" s="13" t="s">
        <v>2</v>
      </c>
      <c r="C49" s="13" t="s">
        <v>227</v>
      </c>
      <c r="D49" s="15">
        <v>45364</v>
      </c>
      <c r="E49" s="16">
        <f ca="1">RANDBETWEEN(100,160)</f>
        <v>150</v>
      </c>
      <c r="F49" s="20">
        <f ca="1">(E49/160)*10</f>
        <v>9.375</v>
      </c>
      <c r="G49" s="16">
        <f ca="1">RANDBETWEEN(5,10)</f>
        <v>10</v>
      </c>
      <c r="H49" s="21">
        <f ca="1">G49/E49*100</f>
        <v>6.666666666666667</v>
      </c>
      <c r="I49" s="23">
        <f ca="1" xml:space="preserve"> (H49*0.5) + (F49*0.3) + (G49*0.2)</f>
        <v>8.1458333333333339</v>
      </c>
      <c r="J49" s="9" t="str">
        <f ca="1">IF(I49&gt;=8,"Excellent",IF(I49&gt;=6,"Good","Needs Improvement"))</f>
        <v>Excellent</v>
      </c>
      <c r="K49" s="16">
        <f ca="1">IF(I49&gt;=8,9000,IF(I49&gt;=6,6000,4000))</f>
        <v>9000</v>
      </c>
    </row>
    <row r="50" spans="1:11">
      <c r="A50" s="2" t="s">
        <v>201</v>
      </c>
      <c r="B50" s="13" t="s">
        <v>4</v>
      </c>
      <c r="C50" s="13" t="s">
        <v>235</v>
      </c>
      <c r="D50" s="15">
        <v>45734</v>
      </c>
      <c r="E50" s="16">
        <f ca="1">RANDBETWEEN(100,160)</f>
        <v>120</v>
      </c>
      <c r="F50" s="20">
        <f ca="1">(E50/160)*10</f>
        <v>7.5</v>
      </c>
      <c r="G50" s="16">
        <f ca="1">RANDBETWEEN(5,10)</f>
        <v>8</v>
      </c>
      <c r="H50" s="21">
        <f ca="1">G50/E50*100</f>
        <v>6.666666666666667</v>
      </c>
      <c r="I50" s="23">
        <f ca="1" xml:space="preserve"> (H50*0.5) + (F50*0.3) + (G50*0.2)</f>
        <v>7.1833333333333336</v>
      </c>
      <c r="J50" s="9" t="str">
        <f ca="1">IF(I50&gt;=8,"Excellent",IF(I50&gt;=6,"Good","Needs Improvement"))</f>
        <v>Good</v>
      </c>
      <c r="K50" s="16">
        <f ca="1">IF(I50&gt;=8,9000,IF(I50&gt;=6,6000,4000))</f>
        <v>6000</v>
      </c>
    </row>
    <row r="51" spans="1:11">
      <c r="A51" s="2" t="s">
        <v>149</v>
      </c>
      <c r="B51" s="13" t="s">
        <v>2</v>
      </c>
      <c r="C51" s="13" t="s">
        <v>228</v>
      </c>
      <c r="D51" s="15">
        <v>45995</v>
      </c>
      <c r="E51" s="16">
        <f ca="1">RANDBETWEEN(100,160)</f>
        <v>125</v>
      </c>
      <c r="F51" s="20">
        <f ca="1">(E51/160)*10</f>
        <v>7.8125</v>
      </c>
      <c r="G51" s="16">
        <f ca="1">RANDBETWEEN(5,10)</f>
        <v>9</v>
      </c>
      <c r="H51" s="21">
        <f ca="1">G51/E51*100</f>
        <v>7.1999999999999993</v>
      </c>
      <c r="I51" s="23">
        <f ca="1" xml:space="preserve"> (H51*0.5) + (F51*0.3) + (G51*0.2)</f>
        <v>7.7437499999999995</v>
      </c>
      <c r="J51" s="9" t="str">
        <f ca="1">IF(I51&gt;=8,"Excellent",IF(I51&gt;=6,"Good","Needs Improvement"))</f>
        <v>Good</v>
      </c>
      <c r="K51" s="16">
        <f ca="1">IF(I51&gt;=8,9000,IF(I51&gt;=6,6000,4000))</f>
        <v>6000</v>
      </c>
    </row>
    <row r="52" spans="1:11">
      <c r="A52" s="2" t="s">
        <v>195</v>
      </c>
      <c r="B52" s="13" t="s">
        <v>3</v>
      </c>
      <c r="C52" s="13" t="s">
        <v>231</v>
      </c>
      <c r="D52" s="15">
        <v>45629</v>
      </c>
      <c r="E52" s="16">
        <f ca="1">RANDBETWEEN(100,160)</f>
        <v>140</v>
      </c>
      <c r="F52" s="20">
        <f ca="1">(E52/160)*10</f>
        <v>8.75</v>
      </c>
      <c r="G52" s="16">
        <f ca="1">RANDBETWEEN(5,10)</f>
        <v>5</v>
      </c>
      <c r="H52" s="21">
        <f ca="1">G52/E52*100</f>
        <v>3.5714285714285712</v>
      </c>
      <c r="I52" s="23">
        <f ca="1" xml:space="preserve"> (H52*0.5) + (F52*0.3) + (G52*0.2)</f>
        <v>5.4107142857142856</v>
      </c>
      <c r="J52" s="9" t="str">
        <f ca="1">IF(I52&gt;=8,"Excellent",IF(I52&gt;=6,"Good","Needs Improvement"))</f>
        <v>Needs Improvement</v>
      </c>
      <c r="K52" s="16">
        <f ca="1">IF(I52&gt;=8,9000,IF(I52&gt;=6,6000,4000))</f>
        <v>4000</v>
      </c>
    </row>
    <row r="53" spans="1:11">
      <c r="A53" s="2" t="s">
        <v>62</v>
      </c>
      <c r="B53" s="13" t="s">
        <v>220</v>
      </c>
      <c r="C53" s="13" t="s">
        <v>222</v>
      </c>
      <c r="D53" s="15">
        <v>44690</v>
      </c>
      <c r="E53" s="16">
        <f ca="1">RANDBETWEEN(100,160)</f>
        <v>140</v>
      </c>
      <c r="F53" s="20">
        <f ca="1">(E53/160)*10</f>
        <v>8.75</v>
      </c>
      <c r="G53" s="16">
        <f ca="1">RANDBETWEEN(5,10)</f>
        <v>5</v>
      </c>
      <c r="H53" s="21">
        <f ca="1">G53/E53*100</f>
        <v>3.5714285714285712</v>
      </c>
      <c r="I53" s="23">
        <f ca="1" xml:space="preserve"> (H53*0.5) + (F53*0.3) + (G53*0.2)</f>
        <v>5.4107142857142856</v>
      </c>
      <c r="J53" s="9" t="str">
        <f ca="1">IF(I53&gt;=8,"Excellent",IF(I53&gt;=6,"Good","Needs Improvement"))</f>
        <v>Needs Improvement</v>
      </c>
      <c r="K53" s="16">
        <f ca="1">IF(I53&gt;=8,9000,IF(I53&gt;=6,6000,4000))</f>
        <v>4000</v>
      </c>
    </row>
    <row r="54" spans="1:11">
      <c r="A54" s="2" t="s">
        <v>209</v>
      </c>
      <c r="B54" s="13" t="s">
        <v>4</v>
      </c>
      <c r="C54" s="13" t="s">
        <v>238</v>
      </c>
      <c r="D54" s="15">
        <v>44762</v>
      </c>
      <c r="E54" s="16">
        <f ca="1">RANDBETWEEN(100,160)</f>
        <v>142</v>
      </c>
      <c r="F54" s="20">
        <f ca="1">(E54/160)*10</f>
        <v>8.875</v>
      </c>
      <c r="G54" s="16">
        <f ca="1">RANDBETWEEN(5,10)</f>
        <v>5</v>
      </c>
      <c r="H54" s="21">
        <f ca="1">G54/E54*100</f>
        <v>3.5211267605633805</v>
      </c>
      <c r="I54" s="23">
        <f ca="1" xml:space="preserve"> (H54*0.5) + (F54*0.3) + (G54*0.2)</f>
        <v>5.4230633802816905</v>
      </c>
      <c r="J54" s="9" t="str">
        <f ca="1">IF(I54&gt;=8,"Excellent",IF(I54&gt;=6,"Good","Needs Improvement"))</f>
        <v>Needs Improvement</v>
      </c>
      <c r="K54" s="16">
        <f ca="1">IF(I54&gt;=8,9000,IF(I54&gt;=6,6000,4000))</f>
        <v>4000</v>
      </c>
    </row>
    <row r="55" spans="1:11">
      <c r="A55" s="2" t="s">
        <v>64</v>
      </c>
      <c r="B55" s="13" t="s">
        <v>220</v>
      </c>
      <c r="C55" s="13" t="s">
        <v>221</v>
      </c>
      <c r="D55" s="15">
        <v>44735</v>
      </c>
      <c r="E55" s="16">
        <f ca="1">RANDBETWEEN(100,160)</f>
        <v>104</v>
      </c>
      <c r="F55" s="20">
        <f ca="1">(E55/160)*10</f>
        <v>6.5</v>
      </c>
      <c r="G55" s="16">
        <f ca="1">RANDBETWEEN(5,10)</f>
        <v>5</v>
      </c>
      <c r="H55" s="21">
        <f ca="1">G55/E55*100</f>
        <v>4.8076923076923084</v>
      </c>
      <c r="I55" s="23">
        <f ca="1" xml:space="preserve"> (H55*0.5) + (F55*0.3) + (G55*0.2)</f>
        <v>5.3538461538461544</v>
      </c>
      <c r="J55" s="9" t="str">
        <f ca="1">IF(I55&gt;=8,"Excellent",IF(I55&gt;=6,"Good","Needs Improvement"))</f>
        <v>Needs Improvement</v>
      </c>
      <c r="K55" s="16">
        <f ca="1">IF(I55&gt;=8,9000,IF(I55&gt;=6,6000,4000))</f>
        <v>4000</v>
      </c>
    </row>
    <row r="56" spans="1:11">
      <c r="A56" s="2" t="s">
        <v>73</v>
      </c>
      <c r="B56" s="13" t="s">
        <v>1</v>
      </c>
      <c r="C56" s="13" t="s">
        <v>226</v>
      </c>
      <c r="D56" s="15">
        <v>44853</v>
      </c>
      <c r="E56" s="16">
        <f ca="1">RANDBETWEEN(100,160)</f>
        <v>153</v>
      </c>
      <c r="F56" s="20">
        <f ca="1">(E56/160)*10</f>
        <v>9.5625</v>
      </c>
      <c r="G56" s="16">
        <f ca="1">RANDBETWEEN(5,10)</f>
        <v>10</v>
      </c>
      <c r="H56" s="21">
        <f ca="1">G56/E56*100</f>
        <v>6.5359477124183014</v>
      </c>
      <c r="I56" s="23">
        <f ca="1" xml:space="preserve"> (H56*0.5) + (F56*0.3) + (G56*0.2)</f>
        <v>8.1367238562091515</v>
      </c>
      <c r="J56" s="9" t="str">
        <f ca="1">IF(I56&gt;=8,"Excellent",IF(I56&gt;=6,"Good","Needs Improvement"))</f>
        <v>Excellent</v>
      </c>
      <c r="K56" s="16">
        <f ca="1">IF(I56&gt;=8,9000,IF(I56&gt;=6,6000,4000))</f>
        <v>9000</v>
      </c>
    </row>
    <row r="57" spans="1:11">
      <c r="A57" s="2" t="s">
        <v>6</v>
      </c>
      <c r="B57" s="13" t="s">
        <v>220</v>
      </c>
      <c r="C57" s="13" t="s">
        <v>222</v>
      </c>
      <c r="D57" s="15">
        <v>45048</v>
      </c>
      <c r="E57" s="16">
        <f ca="1">RANDBETWEEN(100,160)</f>
        <v>122</v>
      </c>
      <c r="F57" s="20">
        <f ca="1">(E57/160)*10</f>
        <v>7.625</v>
      </c>
      <c r="G57" s="16">
        <f ca="1">RANDBETWEEN(5,10)</f>
        <v>7</v>
      </c>
      <c r="H57" s="21">
        <f ca="1">G57/E57*100</f>
        <v>5.7377049180327866</v>
      </c>
      <c r="I57" s="23">
        <f ca="1" xml:space="preserve"> (H57*0.5) + (F57*0.3) + (G57*0.2)</f>
        <v>6.5563524590163933</v>
      </c>
      <c r="J57" s="9" t="str">
        <f ca="1">IF(I57&gt;=8,"Excellent",IF(I57&gt;=6,"Good","Needs Improvement"))</f>
        <v>Good</v>
      </c>
      <c r="K57" s="16">
        <f ca="1">IF(I57&gt;=8,9000,IF(I57&gt;=6,6000,4000))</f>
        <v>6000</v>
      </c>
    </row>
    <row r="58" spans="1:11">
      <c r="A58" s="2" t="s">
        <v>82</v>
      </c>
      <c r="B58" s="13" t="s">
        <v>2</v>
      </c>
      <c r="C58" s="13" t="s">
        <v>228</v>
      </c>
      <c r="D58" s="15">
        <v>45369</v>
      </c>
      <c r="E58" s="16">
        <f ca="1">RANDBETWEEN(100,160)</f>
        <v>142</v>
      </c>
      <c r="F58" s="20">
        <f ca="1">(E58/160)*10</f>
        <v>8.875</v>
      </c>
      <c r="G58" s="16">
        <f ca="1">RANDBETWEEN(5,10)</f>
        <v>8</v>
      </c>
      <c r="H58" s="21">
        <f ca="1">G58/E58*100</f>
        <v>5.6338028169014089</v>
      </c>
      <c r="I58" s="23">
        <f ca="1" xml:space="preserve"> (H58*0.5) + (F58*0.3) + (G58*0.2)</f>
        <v>7.0794014084507051</v>
      </c>
      <c r="J58" s="9" t="str">
        <f ca="1">IF(I58&gt;=8,"Excellent",IF(I58&gt;=6,"Good","Needs Improvement"))</f>
        <v>Good</v>
      </c>
      <c r="K58" s="16">
        <f ca="1">IF(I58&gt;=8,9000,IF(I58&gt;=6,6000,4000))</f>
        <v>6000</v>
      </c>
    </row>
    <row r="59" spans="1:11">
      <c r="A59" s="2" t="s">
        <v>85</v>
      </c>
      <c r="B59" s="13" t="s">
        <v>3</v>
      </c>
      <c r="C59" s="13" t="s">
        <v>230</v>
      </c>
      <c r="D59" s="15">
        <v>45404</v>
      </c>
      <c r="E59" s="16">
        <f ca="1">RANDBETWEEN(100,160)</f>
        <v>107</v>
      </c>
      <c r="F59" s="20">
        <f ca="1">(E59/160)*10</f>
        <v>6.6875</v>
      </c>
      <c r="G59" s="16">
        <f ca="1">RANDBETWEEN(5,10)</f>
        <v>9</v>
      </c>
      <c r="H59" s="21">
        <f ca="1">G59/E59*100</f>
        <v>8.4112149532710276</v>
      </c>
      <c r="I59" s="23">
        <f ca="1" xml:space="preserve"> (H59*0.5) + (F59*0.3) + (G59*0.2)</f>
        <v>8.0118574766355142</v>
      </c>
      <c r="J59" s="9" t="str">
        <f ca="1">IF(I59&gt;=8,"Excellent",IF(I59&gt;=6,"Good","Needs Improvement"))</f>
        <v>Excellent</v>
      </c>
      <c r="K59" s="16">
        <f ca="1">IF(I59&gt;=8,9000,IF(I59&gt;=6,6000,4000))</f>
        <v>9000</v>
      </c>
    </row>
    <row r="60" spans="1:11">
      <c r="A60" s="2" t="s">
        <v>25</v>
      </c>
      <c r="B60" s="13" t="s">
        <v>2</v>
      </c>
      <c r="C60" s="13" t="s">
        <v>227</v>
      </c>
      <c r="D60" s="15">
        <v>46008</v>
      </c>
      <c r="E60" s="16">
        <f ca="1">RANDBETWEEN(100,160)</f>
        <v>115</v>
      </c>
      <c r="F60" s="20">
        <f ca="1">(E60/160)*10</f>
        <v>7.1875</v>
      </c>
      <c r="G60" s="16">
        <f ca="1">RANDBETWEEN(5,10)</f>
        <v>5</v>
      </c>
      <c r="H60" s="21">
        <f ca="1">G60/E60*100</f>
        <v>4.3478260869565215</v>
      </c>
      <c r="I60" s="23">
        <f ca="1" xml:space="preserve"> (H60*0.5) + (F60*0.3) + (G60*0.2)</f>
        <v>5.3301630434782608</v>
      </c>
      <c r="J60" s="9" t="str">
        <f ca="1">IF(I60&gt;=8,"Excellent",IF(I60&gt;=6,"Good","Needs Improvement"))</f>
        <v>Needs Improvement</v>
      </c>
      <c r="K60" s="16">
        <f ca="1">IF(I60&gt;=8,9000,IF(I60&gt;=6,6000,4000))</f>
        <v>4000</v>
      </c>
    </row>
    <row r="61" spans="1:11">
      <c r="A61" s="2" t="s">
        <v>106</v>
      </c>
      <c r="B61" s="13" t="s">
        <v>2</v>
      </c>
      <c r="C61" s="13" t="s">
        <v>229</v>
      </c>
      <c r="D61" s="15">
        <v>45048</v>
      </c>
      <c r="E61" s="16">
        <f ca="1">RANDBETWEEN(100,160)</f>
        <v>143</v>
      </c>
      <c r="F61" s="20">
        <f ca="1">(E61/160)*10</f>
        <v>8.9375</v>
      </c>
      <c r="G61" s="16">
        <f ca="1">RANDBETWEEN(5,10)</f>
        <v>9</v>
      </c>
      <c r="H61" s="21">
        <f ca="1">G61/E61*100</f>
        <v>6.2937062937062942</v>
      </c>
      <c r="I61" s="23">
        <f ca="1" xml:space="preserve"> (H61*0.5) + (F61*0.3) + (G61*0.2)</f>
        <v>7.6281031468531468</v>
      </c>
      <c r="J61" s="9" t="str">
        <f ca="1">IF(I61&gt;=8,"Excellent",IF(I61&gt;=6,"Good","Needs Improvement"))</f>
        <v>Good</v>
      </c>
      <c r="K61" s="16">
        <f ca="1">IF(I61&gt;=8,9000,IF(I61&gt;=6,6000,4000))</f>
        <v>6000</v>
      </c>
    </row>
    <row r="62" spans="1:11">
      <c r="A62" s="2" t="s">
        <v>39</v>
      </c>
      <c r="B62" s="13" t="s">
        <v>3</v>
      </c>
      <c r="C62" s="13" t="s">
        <v>230</v>
      </c>
      <c r="D62" s="15">
        <v>45721</v>
      </c>
      <c r="E62" s="16">
        <f ca="1">RANDBETWEEN(100,160)</f>
        <v>133</v>
      </c>
      <c r="F62" s="20">
        <f ca="1">(E62/160)*10</f>
        <v>8.3125</v>
      </c>
      <c r="G62" s="16">
        <f ca="1">RANDBETWEEN(5,10)</f>
        <v>6</v>
      </c>
      <c r="H62" s="21">
        <f ca="1">G62/E62*100</f>
        <v>4.5112781954887211</v>
      </c>
      <c r="I62" s="23">
        <f ca="1" xml:space="preserve"> (H62*0.5) + (F62*0.3) + (G62*0.2)</f>
        <v>5.9493890977443611</v>
      </c>
      <c r="J62" s="9" t="str">
        <f ca="1">IF(I62&gt;=8,"Excellent",IF(I62&gt;=6,"Good","Needs Improvement"))</f>
        <v>Needs Improvement</v>
      </c>
      <c r="K62" s="16">
        <f ca="1">IF(I62&gt;=8,9000,IF(I62&gt;=6,6000,4000))</f>
        <v>4000</v>
      </c>
    </row>
    <row r="63" spans="1:11">
      <c r="A63" s="2" t="s">
        <v>121</v>
      </c>
      <c r="B63" s="13" t="s">
        <v>4</v>
      </c>
      <c r="C63" s="13" t="s">
        <v>237</v>
      </c>
      <c r="D63" s="15">
        <v>45715</v>
      </c>
      <c r="E63" s="16">
        <f ca="1">RANDBETWEEN(100,160)</f>
        <v>127</v>
      </c>
      <c r="F63" s="20">
        <f ca="1">(E63/160)*10</f>
        <v>7.9375</v>
      </c>
      <c r="G63" s="16">
        <f ca="1">RANDBETWEEN(5,10)</f>
        <v>5</v>
      </c>
      <c r="H63" s="21">
        <f ca="1">G63/E63*100</f>
        <v>3.9370078740157481</v>
      </c>
      <c r="I63" s="23">
        <f ca="1" xml:space="preserve"> (H63*0.5) + (F63*0.3) + (G63*0.2)</f>
        <v>5.3497539370078737</v>
      </c>
      <c r="J63" s="9" t="str">
        <f ca="1">IF(I63&gt;=8,"Excellent",IF(I63&gt;=6,"Good","Needs Improvement"))</f>
        <v>Needs Improvement</v>
      </c>
      <c r="K63" s="16">
        <f ca="1">IF(I63&gt;=8,9000,IF(I63&gt;=6,6000,4000))</f>
        <v>4000</v>
      </c>
    </row>
    <row r="64" spans="1:11">
      <c r="A64" s="2" t="s">
        <v>28</v>
      </c>
      <c r="B64" s="13" t="s">
        <v>2</v>
      </c>
      <c r="C64" s="13" t="s">
        <v>227</v>
      </c>
      <c r="D64" s="15">
        <v>46058</v>
      </c>
      <c r="E64" s="16">
        <f ca="1">RANDBETWEEN(100,160)</f>
        <v>126</v>
      </c>
      <c r="F64" s="20">
        <f ca="1">(E64/160)*10</f>
        <v>7.875</v>
      </c>
      <c r="G64" s="16">
        <f ca="1">RANDBETWEEN(5,10)</f>
        <v>10</v>
      </c>
      <c r="H64" s="21">
        <f ca="1">G64/E64*100</f>
        <v>7.9365079365079358</v>
      </c>
      <c r="I64" s="23">
        <f ca="1" xml:space="preserve"> (H64*0.5) + (F64*0.3) + (G64*0.2)</f>
        <v>8.3307539682539673</v>
      </c>
      <c r="J64" s="9" t="str">
        <f ca="1">IF(I64&gt;=8,"Excellent",IF(I64&gt;=6,"Good","Needs Improvement"))</f>
        <v>Excellent</v>
      </c>
      <c r="K64" s="16">
        <f ca="1">IF(I64&gt;=8,9000,IF(I64&gt;=6,6000,4000))</f>
        <v>9000</v>
      </c>
    </row>
    <row r="65" spans="1:11">
      <c r="A65" s="2" t="s">
        <v>100</v>
      </c>
      <c r="B65" s="13" t="s">
        <v>4</v>
      </c>
      <c r="C65" s="13" t="s">
        <v>234</v>
      </c>
      <c r="D65" s="15">
        <v>45707</v>
      </c>
      <c r="E65" s="16">
        <f ca="1">RANDBETWEEN(100,160)</f>
        <v>159</v>
      </c>
      <c r="F65" s="20">
        <f ca="1">(E65/160)*10</f>
        <v>9.9375</v>
      </c>
      <c r="G65" s="16">
        <f ca="1">RANDBETWEEN(5,10)</f>
        <v>5</v>
      </c>
      <c r="H65" s="21">
        <f ca="1">G65/E65*100</f>
        <v>3.1446540880503147</v>
      </c>
      <c r="I65" s="23">
        <f ca="1" xml:space="preserve"> (H65*0.5) + (F65*0.3) + (G65*0.2)</f>
        <v>5.5535770440251575</v>
      </c>
      <c r="J65" s="9" t="str">
        <f ca="1">IF(I65&gt;=8,"Excellent",IF(I65&gt;=6,"Good","Needs Improvement"))</f>
        <v>Needs Improvement</v>
      </c>
      <c r="K65" s="16">
        <f ca="1">IF(I65&gt;=8,9000,IF(I65&gt;=6,6000,4000))</f>
        <v>4000</v>
      </c>
    </row>
    <row r="66" spans="1:11">
      <c r="A66" s="2" t="s">
        <v>93</v>
      </c>
      <c r="B66" s="13" t="s">
        <v>3</v>
      </c>
      <c r="C66" s="13" t="s">
        <v>230</v>
      </c>
      <c r="D66" s="15">
        <v>45583</v>
      </c>
      <c r="E66" s="16">
        <f ca="1">RANDBETWEEN(100,160)</f>
        <v>106</v>
      </c>
      <c r="F66" s="20">
        <f ca="1">(E66/160)*10</f>
        <v>6.625</v>
      </c>
      <c r="G66" s="16">
        <f ca="1">RANDBETWEEN(5,10)</f>
        <v>5</v>
      </c>
      <c r="H66" s="21">
        <f ca="1">G66/E66*100</f>
        <v>4.716981132075472</v>
      </c>
      <c r="I66" s="23">
        <f ca="1" xml:space="preserve"> (H66*0.5) + (F66*0.3) + (G66*0.2)</f>
        <v>5.3459905660377363</v>
      </c>
      <c r="J66" s="9" t="str">
        <f ca="1">IF(I66&gt;=8,"Excellent",IF(I66&gt;=6,"Good","Needs Improvement"))</f>
        <v>Needs Improvement</v>
      </c>
      <c r="K66" s="16">
        <f ca="1">IF(I66&gt;=8,9000,IF(I66&gt;=6,6000,4000))</f>
        <v>4000</v>
      </c>
    </row>
    <row r="67" spans="1:11">
      <c r="A67" s="2" t="s">
        <v>24</v>
      </c>
      <c r="B67" s="13" t="s">
        <v>1</v>
      </c>
      <c r="C67" s="13" t="s">
        <v>224</v>
      </c>
      <c r="D67" s="15">
        <v>45994</v>
      </c>
      <c r="E67" s="16">
        <f ca="1">RANDBETWEEN(100,160)</f>
        <v>148</v>
      </c>
      <c r="F67" s="20">
        <f ca="1">(E67/160)*10</f>
        <v>9.25</v>
      </c>
      <c r="G67" s="16">
        <f ca="1">RANDBETWEEN(5,10)</f>
        <v>9</v>
      </c>
      <c r="H67" s="21">
        <f ca="1">G67/E67*100</f>
        <v>6.0810810810810816</v>
      </c>
      <c r="I67" s="23">
        <f ca="1" xml:space="preserve"> (H67*0.5) + (F67*0.3) + (G67*0.2)</f>
        <v>7.6155405405405405</v>
      </c>
      <c r="J67" s="9" t="str">
        <f ca="1">IF(I67&gt;=8,"Excellent",IF(I67&gt;=6,"Good","Needs Improvement"))</f>
        <v>Good</v>
      </c>
      <c r="K67" s="16">
        <f ca="1">IF(I67&gt;=8,9000,IF(I67&gt;=6,6000,4000))</f>
        <v>6000</v>
      </c>
    </row>
    <row r="68" spans="1:11">
      <c r="A68" s="2" t="s">
        <v>80</v>
      </c>
      <c r="B68" s="13" t="s">
        <v>2</v>
      </c>
      <c r="C68" s="13" t="s">
        <v>229</v>
      </c>
      <c r="D68" s="15">
        <v>45357</v>
      </c>
      <c r="E68" s="16">
        <f ca="1">RANDBETWEEN(100,160)</f>
        <v>104</v>
      </c>
      <c r="F68" s="20">
        <f ca="1">(E68/160)*10</f>
        <v>6.5</v>
      </c>
      <c r="G68" s="16">
        <f ca="1">RANDBETWEEN(5,10)</f>
        <v>9</v>
      </c>
      <c r="H68" s="21">
        <f ca="1">G68/E68*100</f>
        <v>8.6538461538461533</v>
      </c>
      <c r="I68" s="23">
        <f ca="1" xml:space="preserve"> (H68*0.5) + (F68*0.3) + (G68*0.2)</f>
        <v>8.0769230769230766</v>
      </c>
      <c r="J68" s="9" t="str">
        <f ca="1">IF(I68&gt;=8,"Excellent",IF(I68&gt;=6,"Good","Needs Improvement"))</f>
        <v>Excellent</v>
      </c>
      <c r="K68" s="16">
        <f ca="1">IF(I68&gt;=8,9000,IF(I68&gt;=6,6000,4000))</f>
        <v>9000</v>
      </c>
    </row>
    <row r="69" spans="1:11">
      <c r="A69" s="2" t="s">
        <v>142</v>
      </c>
      <c r="B69" s="13" t="s">
        <v>1</v>
      </c>
      <c r="C69" s="13" t="s">
        <v>225</v>
      </c>
      <c r="D69" s="15">
        <v>45743</v>
      </c>
      <c r="E69" s="16">
        <f ca="1">RANDBETWEEN(100,160)</f>
        <v>153</v>
      </c>
      <c r="F69" s="20">
        <f ca="1">(E69/160)*10</f>
        <v>9.5625</v>
      </c>
      <c r="G69" s="16">
        <f ca="1">RANDBETWEEN(5,10)</f>
        <v>5</v>
      </c>
      <c r="H69" s="21">
        <f ca="1">G69/E69*100</f>
        <v>3.2679738562091507</v>
      </c>
      <c r="I69" s="23">
        <f ca="1" xml:space="preserve"> (H69*0.5) + (F69*0.3) + (G69*0.2)</f>
        <v>5.502736928104575</v>
      </c>
      <c r="J69" s="9" t="str">
        <f ca="1">IF(I69&gt;=8,"Excellent",IF(I69&gt;=6,"Good","Needs Improvement"))</f>
        <v>Needs Improvement</v>
      </c>
      <c r="K69" s="16">
        <f ca="1">IF(I69&gt;=8,9000,IF(I69&gt;=6,6000,4000))</f>
        <v>4000</v>
      </c>
    </row>
    <row r="70" spans="1:11">
      <c r="A70" s="2" t="s">
        <v>74</v>
      </c>
      <c r="B70" s="13" t="s">
        <v>1</v>
      </c>
      <c r="C70" s="13" t="s">
        <v>224</v>
      </c>
      <c r="D70" s="15">
        <v>44855</v>
      </c>
      <c r="E70" s="16">
        <f ca="1">RANDBETWEEN(100,160)</f>
        <v>116</v>
      </c>
      <c r="F70" s="20">
        <f ca="1">(E70/160)*10</f>
        <v>7.25</v>
      </c>
      <c r="G70" s="16">
        <f ca="1">RANDBETWEEN(5,10)</f>
        <v>10</v>
      </c>
      <c r="H70" s="21">
        <f ca="1">G70/E70*100</f>
        <v>8.6206896551724146</v>
      </c>
      <c r="I70" s="23">
        <f ca="1" xml:space="preserve"> (H70*0.5) + (F70*0.3) + (G70*0.2)</f>
        <v>8.4853448275862071</v>
      </c>
      <c r="J70" s="9" t="str">
        <f ca="1">IF(I70&gt;=8,"Excellent",IF(I70&gt;=6,"Good","Needs Improvement"))</f>
        <v>Excellent</v>
      </c>
      <c r="K70" s="16">
        <f ca="1">IF(I70&gt;=8,9000,IF(I70&gt;=6,6000,4000))</f>
        <v>9000</v>
      </c>
    </row>
    <row r="71" spans="1:11">
      <c r="A71" s="2" t="s">
        <v>108</v>
      </c>
      <c r="B71" s="13" t="s">
        <v>3</v>
      </c>
      <c r="C71" s="13" t="s">
        <v>230</v>
      </c>
      <c r="D71" s="15">
        <v>45064</v>
      </c>
      <c r="E71" s="16">
        <f ca="1">RANDBETWEEN(100,160)</f>
        <v>121</v>
      </c>
      <c r="F71" s="20">
        <f ca="1">(E71/160)*10</f>
        <v>7.5625</v>
      </c>
      <c r="G71" s="16">
        <f ca="1">RANDBETWEEN(5,10)</f>
        <v>6</v>
      </c>
      <c r="H71" s="21">
        <f ca="1">G71/E71*100</f>
        <v>4.9586776859504136</v>
      </c>
      <c r="I71" s="23">
        <f ca="1" xml:space="preserve"> (H71*0.5) + (F71*0.3) + (G71*0.2)</f>
        <v>5.9480888429752072</v>
      </c>
      <c r="J71" s="9" t="str">
        <f ca="1">IF(I71&gt;=8,"Excellent",IF(I71&gt;=6,"Good","Needs Improvement"))</f>
        <v>Needs Improvement</v>
      </c>
      <c r="K71" s="16">
        <f ca="1">IF(I71&gt;=8,9000,IF(I71&gt;=6,6000,4000))</f>
        <v>4000</v>
      </c>
    </row>
    <row r="72" spans="1:11">
      <c r="A72" s="2" t="s">
        <v>122</v>
      </c>
      <c r="B72" s="13" t="s">
        <v>4</v>
      </c>
      <c r="C72" s="13" t="s">
        <v>238</v>
      </c>
      <c r="D72" s="15">
        <v>45742</v>
      </c>
      <c r="E72" s="16">
        <f ca="1">RANDBETWEEN(100,160)</f>
        <v>138</v>
      </c>
      <c r="F72" s="20">
        <f ca="1">(E72/160)*10</f>
        <v>8.625</v>
      </c>
      <c r="G72" s="16">
        <f ca="1">RANDBETWEEN(5,10)</f>
        <v>8</v>
      </c>
      <c r="H72" s="21">
        <f ca="1">G72/E72*100</f>
        <v>5.7971014492753623</v>
      </c>
      <c r="I72" s="23">
        <f ca="1" xml:space="preserve"> (H72*0.5) + (F72*0.3) + (G72*0.2)</f>
        <v>7.0860507246376816</v>
      </c>
      <c r="J72" s="9" t="str">
        <f ca="1">IF(I72&gt;=8,"Excellent",IF(I72&gt;=6,"Good","Needs Improvement"))</f>
        <v>Good</v>
      </c>
      <c r="K72" s="16">
        <f ca="1">IF(I72&gt;=8,9000,IF(I72&gt;=6,6000,4000))</f>
        <v>6000</v>
      </c>
    </row>
    <row r="73" spans="1:11">
      <c r="A73" s="2" t="s">
        <v>154</v>
      </c>
      <c r="B73" s="13" t="s">
        <v>2</v>
      </c>
      <c r="C73" s="13" t="s">
        <v>227</v>
      </c>
      <c r="D73" s="15">
        <v>46111</v>
      </c>
      <c r="E73" s="16">
        <f ca="1">RANDBETWEEN(100,160)</f>
        <v>129</v>
      </c>
      <c r="F73" s="20">
        <f ca="1">(E73/160)*10</f>
        <v>8.0625</v>
      </c>
      <c r="G73" s="16">
        <f ca="1">RANDBETWEEN(5,10)</f>
        <v>5</v>
      </c>
      <c r="H73" s="21">
        <f ca="1">G73/E73*100</f>
        <v>3.8759689922480618</v>
      </c>
      <c r="I73" s="23">
        <f ca="1" xml:space="preserve"> (H73*0.5) + (F73*0.3) + (G73*0.2)</f>
        <v>5.3567344961240302</v>
      </c>
      <c r="J73" s="9" t="str">
        <f ca="1">IF(I73&gt;=8,"Excellent",IF(I73&gt;=6,"Good","Needs Improvement"))</f>
        <v>Needs Improvement</v>
      </c>
      <c r="K73" s="16">
        <f ca="1">IF(I73&gt;=8,9000,IF(I73&gt;=6,6000,4000))</f>
        <v>4000</v>
      </c>
    </row>
    <row r="74" spans="1:11">
      <c r="A74" s="2" t="s">
        <v>136</v>
      </c>
      <c r="B74" s="13" t="s">
        <v>220</v>
      </c>
      <c r="C74" s="13" t="s">
        <v>223</v>
      </c>
      <c r="D74" s="15">
        <v>45638</v>
      </c>
      <c r="E74" s="16">
        <f ca="1">RANDBETWEEN(100,160)</f>
        <v>131</v>
      </c>
      <c r="F74" s="20">
        <f ca="1">(E74/160)*10</f>
        <v>8.1875</v>
      </c>
      <c r="G74" s="16">
        <f ca="1">RANDBETWEEN(5,10)</f>
        <v>8</v>
      </c>
      <c r="H74" s="21">
        <f ca="1">G74/E74*100</f>
        <v>6.1068702290076331</v>
      </c>
      <c r="I74" s="23">
        <f ca="1" xml:space="preserve"> (H74*0.5) + (F74*0.3) + (G74*0.2)</f>
        <v>7.1096851145038169</v>
      </c>
      <c r="J74" s="9" t="str">
        <f ca="1">IF(I74&gt;=8,"Excellent",IF(I74&gt;=6,"Good","Needs Improvement"))</f>
        <v>Good</v>
      </c>
      <c r="K74" s="16">
        <f ca="1">IF(I74&gt;=8,9000,IF(I74&gt;=6,6000,4000))</f>
        <v>6000</v>
      </c>
    </row>
    <row r="75" spans="1:11">
      <c r="A75" s="2" t="s">
        <v>161</v>
      </c>
      <c r="B75" s="13" t="s">
        <v>3</v>
      </c>
      <c r="C75" s="13" t="s">
        <v>233</v>
      </c>
      <c r="D75" s="15">
        <v>44683</v>
      </c>
      <c r="E75" s="16">
        <f ca="1">RANDBETWEEN(100,160)</f>
        <v>107</v>
      </c>
      <c r="F75" s="20">
        <f ca="1">(E75/160)*10</f>
        <v>6.6875</v>
      </c>
      <c r="G75" s="16">
        <f ca="1">RANDBETWEEN(5,10)</f>
        <v>8</v>
      </c>
      <c r="H75" s="21">
        <f ca="1">G75/E75*100</f>
        <v>7.4766355140186906</v>
      </c>
      <c r="I75" s="23">
        <f ca="1" xml:space="preserve"> (H75*0.5) + (F75*0.3) + (G75*0.2)</f>
        <v>7.3445677570093455</v>
      </c>
      <c r="J75" s="9" t="str">
        <f ca="1">IF(I75&gt;=8,"Excellent",IF(I75&gt;=6,"Good","Needs Improvement"))</f>
        <v>Good</v>
      </c>
      <c r="K75" s="16">
        <f ca="1">IF(I75&gt;=8,9000,IF(I75&gt;=6,6000,4000))</f>
        <v>6000</v>
      </c>
    </row>
    <row r="76" spans="1:11">
      <c r="A76" s="2" t="s">
        <v>10</v>
      </c>
      <c r="B76" s="13" t="s">
        <v>220</v>
      </c>
      <c r="C76" s="13" t="s">
        <v>223</v>
      </c>
      <c r="D76" s="15">
        <v>45209</v>
      </c>
      <c r="E76" s="16">
        <f ca="1">RANDBETWEEN(100,160)</f>
        <v>110</v>
      </c>
      <c r="F76" s="20">
        <f ca="1">(E76/160)*10</f>
        <v>6.875</v>
      </c>
      <c r="G76" s="16">
        <f ca="1">RANDBETWEEN(5,10)</f>
        <v>10</v>
      </c>
      <c r="H76" s="21">
        <f ca="1">G76/E76*100</f>
        <v>9.0909090909090917</v>
      </c>
      <c r="I76" s="23">
        <f ca="1" xml:space="preserve"> (H76*0.5) + (F76*0.3) + (G76*0.2)</f>
        <v>8.6079545454545467</v>
      </c>
      <c r="J76" s="9" t="str">
        <f ca="1">IF(I76&gt;=8,"Excellent",IF(I76&gt;=6,"Good","Needs Improvement"))</f>
        <v>Excellent</v>
      </c>
      <c r="K76" s="16">
        <f ca="1">IF(I76&gt;=8,9000,IF(I76&gt;=6,6000,4000))</f>
        <v>9000</v>
      </c>
    </row>
    <row r="77" spans="1:11">
      <c r="A77" s="2" t="s">
        <v>148</v>
      </c>
      <c r="B77" s="13" t="s">
        <v>2</v>
      </c>
      <c r="C77" s="13" t="s">
        <v>227</v>
      </c>
      <c r="D77" s="15">
        <v>45987</v>
      </c>
      <c r="E77" s="16">
        <f ca="1">RANDBETWEEN(100,160)</f>
        <v>153</v>
      </c>
      <c r="F77" s="20">
        <f ca="1">(E77/160)*10</f>
        <v>9.5625</v>
      </c>
      <c r="G77" s="16">
        <f ca="1">RANDBETWEEN(5,10)</f>
        <v>7</v>
      </c>
      <c r="H77" s="21">
        <f ca="1">G77/E77*100</f>
        <v>4.5751633986928102</v>
      </c>
      <c r="I77" s="23">
        <f ca="1" xml:space="preserve"> (H77*0.5) + (F77*0.3) + (G77*0.2)</f>
        <v>6.5563316993464049</v>
      </c>
      <c r="J77" s="9" t="str">
        <f ca="1">IF(I77&gt;=8,"Excellent",IF(I77&gt;=6,"Good","Needs Improvement"))</f>
        <v>Good</v>
      </c>
      <c r="K77" s="16">
        <f ca="1">IF(I77&gt;=8,9000,IF(I77&gt;=6,6000,4000))</f>
        <v>6000</v>
      </c>
    </row>
    <row r="78" spans="1:11">
      <c r="A78" s="2" t="s">
        <v>145</v>
      </c>
      <c r="B78" s="13" t="s">
        <v>1</v>
      </c>
      <c r="C78" s="13" t="s">
        <v>225</v>
      </c>
      <c r="D78" s="15">
        <v>45852</v>
      </c>
      <c r="E78" s="16">
        <f ca="1">RANDBETWEEN(100,160)</f>
        <v>142</v>
      </c>
      <c r="F78" s="20">
        <f ca="1">(E78/160)*10</f>
        <v>8.875</v>
      </c>
      <c r="G78" s="16">
        <f ca="1">RANDBETWEEN(5,10)</f>
        <v>10</v>
      </c>
      <c r="H78" s="21">
        <f ca="1">G78/E78*100</f>
        <v>7.042253521126761</v>
      </c>
      <c r="I78" s="23">
        <f ca="1" xml:space="preserve"> (H78*0.5) + (F78*0.3) + (G78*0.2)</f>
        <v>8.1836267605633815</v>
      </c>
      <c r="J78" s="9" t="str">
        <f ca="1">IF(I78&gt;=8,"Excellent",IF(I78&gt;=6,"Good","Needs Improvement"))</f>
        <v>Excellent</v>
      </c>
      <c r="K78" s="16">
        <f ca="1">IF(I78&gt;=8,9000,IF(I78&gt;=6,6000,4000))</f>
        <v>9000</v>
      </c>
    </row>
    <row r="79" spans="1:11">
      <c r="A79" s="2" t="s">
        <v>104</v>
      </c>
      <c r="B79" s="13" t="s">
        <v>4</v>
      </c>
      <c r="C79" s="13" t="s">
        <v>238</v>
      </c>
      <c r="D79" s="15">
        <v>45747</v>
      </c>
      <c r="E79" s="16">
        <f ca="1">RANDBETWEEN(100,160)</f>
        <v>155</v>
      </c>
      <c r="F79" s="20">
        <f ca="1">(E79/160)*10</f>
        <v>9.6875</v>
      </c>
      <c r="G79" s="16">
        <f ca="1">RANDBETWEEN(5,10)</f>
        <v>9</v>
      </c>
      <c r="H79" s="21">
        <f ca="1">G79/E79*100</f>
        <v>5.806451612903226</v>
      </c>
      <c r="I79" s="23">
        <f ca="1" xml:space="preserve"> (H79*0.5) + (F79*0.3) + (G79*0.2)</f>
        <v>7.6094758064516128</v>
      </c>
      <c r="J79" s="9" t="str">
        <f ca="1">IF(I79&gt;=8,"Excellent",IF(I79&gt;=6,"Good","Needs Improvement"))</f>
        <v>Good</v>
      </c>
      <c r="K79" s="16">
        <f ca="1">IF(I79&gt;=8,9000,IF(I79&gt;=6,6000,4000))</f>
        <v>6000</v>
      </c>
    </row>
    <row r="80" spans="1:11">
      <c r="A80" s="2" t="s">
        <v>183</v>
      </c>
      <c r="B80" s="13" t="s">
        <v>2</v>
      </c>
      <c r="C80" s="13" t="s">
        <v>227</v>
      </c>
      <c r="D80" s="15">
        <v>45379</v>
      </c>
      <c r="E80" s="16">
        <f ca="1">RANDBETWEEN(100,160)</f>
        <v>107</v>
      </c>
      <c r="F80" s="20">
        <f ca="1">(E80/160)*10</f>
        <v>6.6875</v>
      </c>
      <c r="G80" s="16">
        <f ca="1">RANDBETWEEN(5,10)</f>
        <v>7</v>
      </c>
      <c r="H80" s="21">
        <f ca="1">G80/E80*100</f>
        <v>6.5420560747663545</v>
      </c>
      <c r="I80" s="23">
        <f ca="1" xml:space="preserve"> (H80*0.5) + (F80*0.3) + (G80*0.2)</f>
        <v>6.6772780373831777</v>
      </c>
      <c r="J80" s="9" t="str">
        <f ca="1">IF(I80&gt;=8,"Excellent",IF(I80&gt;=6,"Good","Needs Improvement"))</f>
        <v>Good</v>
      </c>
      <c r="K80" s="16">
        <f ca="1">IF(I80&gt;=8,9000,IF(I80&gt;=6,6000,4000))</f>
        <v>6000</v>
      </c>
    </row>
    <row r="81" spans="1:11">
      <c r="A81" s="2" t="s">
        <v>204</v>
      </c>
      <c r="B81" s="13" t="s">
        <v>4</v>
      </c>
      <c r="C81" s="13" t="s">
        <v>238</v>
      </c>
      <c r="D81" s="15">
        <v>45747</v>
      </c>
      <c r="E81" s="16">
        <f ca="1">RANDBETWEEN(100,160)</f>
        <v>128</v>
      </c>
      <c r="F81" s="20">
        <f ca="1">(E81/160)*10</f>
        <v>8</v>
      </c>
      <c r="G81" s="16">
        <f ca="1">RANDBETWEEN(5,10)</f>
        <v>8</v>
      </c>
      <c r="H81" s="21">
        <f ca="1">G81/E81*100</f>
        <v>6.25</v>
      </c>
      <c r="I81" s="23">
        <f ca="1" xml:space="preserve"> (H81*0.5) + (F81*0.3) + (G81*0.2)</f>
        <v>7.125</v>
      </c>
      <c r="J81" s="9" t="str">
        <f ca="1">IF(I81&gt;=8,"Excellent",IF(I81&gt;=6,"Good","Needs Improvement"))</f>
        <v>Good</v>
      </c>
      <c r="K81" s="16">
        <f ca="1">IF(I81&gt;=8,9000,IF(I81&gt;=6,6000,4000))</f>
        <v>6000</v>
      </c>
    </row>
    <row r="82" spans="1:11">
      <c r="A82" s="2" t="s">
        <v>101</v>
      </c>
      <c r="B82" s="13" t="s">
        <v>4</v>
      </c>
      <c r="C82" s="13" t="s">
        <v>235</v>
      </c>
      <c r="D82" s="15">
        <v>45734</v>
      </c>
      <c r="E82" s="16">
        <f ca="1">RANDBETWEEN(100,160)</f>
        <v>132</v>
      </c>
      <c r="F82" s="20">
        <f ca="1">(E82/160)*10</f>
        <v>8.25</v>
      </c>
      <c r="G82" s="16">
        <f ca="1">RANDBETWEEN(5,10)</f>
        <v>5</v>
      </c>
      <c r="H82" s="21">
        <f ca="1">G82/E82*100</f>
        <v>3.7878787878787881</v>
      </c>
      <c r="I82" s="23">
        <f ca="1" xml:space="preserve"> (H82*0.5) + (F82*0.3) + (G82*0.2)</f>
        <v>5.3689393939393941</v>
      </c>
      <c r="J82" s="9" t="str">
        <f ca="1">IF(I82&gt;=8,"Excellent",IF(I82&gt;=6,"Good","Needs Improvement"))</f>
        <v>Needs Improvement</v>
      </c>
      <c r="K82" s="16">
        <f ca="1">IF(I82&gt;=8,9000,IF(I82&gt;=6,6000,4000))</f>
        <v>4000</v>
      </c>
    </row>
    <row r="83" spans="1:11">
      <c r="A83" s="2" t="s">
        <v>156</v>
      </c>
      <c r="B83" s="13" t="s">
        <v>2</v>
      </c>
      <c r="C83" s="13" t="s">
        <v>229</v>
      </c>
      <c r="D83" s="15">
        <v>44634</v>
      </c>
      <c r="E83" s="16">
        <f ca="1">RANDBETWEEN(100,160)</f>
        <v>157</v>
      </c>
      <c r="F83" s="20">
        <f ca="1">(E83/160)*10</f>
        <v>9.8125</v>
      </c>
      <c r="G83" s="16">
        <f ca="1">RANDBETWEEN(5,10)</f>
        <v>9</v>
      </c>
      <c r="H83" s="21">
        <f ca="1">G83/E83*100</f>
        <v>5.7324840764331215</v>
      </c>
      <c r="I83" s="23">
        <f ca="1" xml:space="preserve"> (H83*0.5) + (F83*0.3) + (G83*0.2)</f>
        <v>7.6099920382165607</v>
      </c>
      <c r="J83" s="9" t="str">
        <f ca="1">IF(I83&gt;=8,"Excellent",IF(I83&gt;=6,"Good","Needs Improvement"))</f>
        <v>Good</v>
      </c>
      <c r="K83" s="16">
        <f ca="1">IF(I83&gt;=8,9000,IF(I83&gt;=6,6000,4000))</f>
        <v>6000</v>
      </c>
    </row>
    <row r="84" spans="1:11">
      <c r="A84" s="2" t="s">
        <v>68</v>
      </c>
      <c r="B84" s="13" t="s">
        <v>1</v>
      </c>
      <c r="C84" s="13" t="s">
        <v>224</v>
      </c>
      <c r="D84" s="15">
        <v>44812</v>
      </c>
      <c r="E84" s="16">
        <f ca="1">RANDBETWEEN(100,160)</f>
        <v>156</v>
      </c>
      <c r="F84" s="20">
        <f ca="1">(E84/160)*10</f>
        <v>9.75</v>
      </c>
      <c r="G84" s="16">
        <f ca="1">RANDBETWEEN(5,10)</f>
        <v>5</v>
      </c>
      <c r="H84" s="21">
        <f ca="1">G84/E84*100</f>
        <v>3.2051282051282048</v>
      </c>
      <c r="I84" s="23">
        <f ca="1" xml:space="preserve"> (H84*0.5) + (F84*0.3) + (G84*0.2)</f>
        <v>5.527564102564102</v>
      </c>
      <c r="J84" s="9" t="str">
        <f ca="1">IF(I84&gt;=8,"Excellent",IF(I84&gt;=6,"Good","Needs Improvement"))</f>
        <v>Needs Improvement</v>
      </c>
      <c r="K84" s="16">
        <f ca="1">IF(I84&gt;=8,9000,IF(I84&gt;=6,6000,4000))</f>
        <v>4000</v>
      </c>
    </row>
    <row r="85" spans="1:11">
      <c r="A85" s="2" t="s">
        <v>165</v>
      </c>
      <c r="B85" s="13" t="s">
        <v>3</v>
      </c>
      <c r="C85" s="13" t="s">
        <v>233</v>
      </c>
      <c r="D85" s="15">
        <v>44762</v>
      </c>
      <c r="E85" s="16">
        <f ca="1">RANDBETWEEN(100,160)</f>
        <v>102</v>
      </c>
      <c r="F85" s="20">
        <f ca="1">(E85/160)*10</f>
        <v>6.375</v>
      </c>
      <c r="G85" s="16">
        <f ca="1">RANDBETWEEN(5,10)</f>
        <v>5</v>
      </c>
      <c r="H85" s="21">
        <f ca="1">G85/E85*100</f>
        <v>4.9019607843137258</v>
      </c>
      <c r="I85" s="23">
        <f ca="1" xml:space="preserve"> (H85*0.5) + (F85*0.3) + (G85*0.2)</f>
        <v>5.3634803921568626</v>
      </c>
      <c r="J85" s="9" t="str">
        <f ca="1">IF(I85&gt;=8,"Excellent",IF(I85&gt;=6,"Good","Needs Improvement"))</f>
        <v>Needs Improvement</v>
      </c>
      <c r="K85" s="16">
        <f ca="1">IF(I85&gt;=8,9000,IF(I85&gt;=6,6000,4000))</f>
        <v>4000</v>
      </c>
    </row>
    <row r="86" spans="1:11">
      <c r="A86" s="2" t="s">
        <v>14</v>
      </c>
      <c r="B86" s="13" t="s">
        <v>220</v>
      </c>
      <c r="C86" s="13" t="s">
        <v>221</v>
      </c>
      <c r="D86" s="15">
        <v>45349</v>
      </c>
      <c r="E86" s="16">
        <f ca="1">RANDBETWEEN(100,160)</f>
        <v>138</v>
      </c>
      <c r="F86" s="20">
        <f ca="1">(E86/160)*10</f>
        <v>8.625</v>
      </c>
      <c r="G86" s="16">
        <f ca="1">RANDBETWEEN(5,10)</f>
        <v>9</v>
      </c>
      <c r="H86" s="21">
        <f ca="1">G86/E86*100</f>
        <v>6.5217391304347823</v>
      </c>
      <c r="I86" s="23">
        <f ca="1" xml:space="preserve"> (H86*0.5) + (F86*0.3) + (G86*0.2)</f>
        <v>7.6483695652173909</v>
      </c>
      <c r="J86" s="9" t="str">
        <f ca="1">IF(I86&gt;=8,"Excellent",IF(I86&gt;=6,"Good","Needs Improvement"))</f>
        <v>Good</v>
      </c>
      <c r="K86" s="16">
        <f ca="1">IF(I86&gt;=8,9000,IF(I86&gt;=6,6000,4000))</f>
        <v>6000</v>
      </c>
    </row>
    <row r="87" spans="1:11">
      <c r="A87" s="2" t="s">
        <v>135</v>
      </c>
      <c r="B87" s="13" t="s">
        <v>220</v>
      </c>
      <c r="C87" s="13" t="s">
        <v>222</v>
      </c>
      <c r="D87" s="15">
        <v>45581</v>
      </c>
      <c r="E87" s="16">
        <f ca="1">RANDBETWEEN(100,160)</f>
        <v>147</v>
      </c>
      <c r="F87" s="20">
        <f ca="1">(E87/160)*10</f>
        <v>9.1875</v>
      </c>
      <c r="G87" s="16">
        <f ca="1">RANDBETWEEN(5,10)</f>
        <v>8</v>
      </c>
      <c r="H87" s="21">
        <f ca="1">G87/E87*100</f>
        <v>5.4421768707482991</v>
      </c>
      <c r="I87" s="23">
        <f ca="1" xml:space="preserve"> (H87*0.5) + (F87*0.3) + (G87*0.2)</f>
        <v>7.0773384353741502</v>
      </c>
      <c r="J87" s="9" t="str">
        <f ca="1">IF(I87&gt;=8,"Excellent",IF(I87&gt;=6,"Good","Needs Improvement"))</f>
        <v>Good</v>
      </c>
      <c r="K87" s="16">
        <f ca="1">IF(I87&gt;=8,9000,IF(I87&gt;=6,6000,4000))</f>
        <v>6000</v>
      </c>
    </row>
    <row r="88" spans="1:11">
      <c r="A88" s="2" t="s">
        <v>132</v>
      </c>
      <c r="B88" s="13" t="s">
        <v>220</v>
      </c>
      <c r="C88" s="13" t="s">
        <v>222</v>
      </c>
      <c r="D88" s="15">
        <v>45404</v>
      </c>
      <c r="E88" s="16">
        <f ca="1">RANDBETWEEN(100,160)</f>
        <v>154</v>
      </c>
      <c r="F88" s="20">
        <f ca="1">(E88/160)*10</f>
        <v>9.625</v>
      </c>
      <c r="G88" s="16">
        <f ca="1">RANDBETWEEN(5,10)</f>
        <v>8</v>
      </c>
      <c r="H88" s="21">
        <f ca="1">G88/E88*100</f>
        <v>5.1948051948051948</v>
      </c>
      <c r="I88" s="23">
        <f ca="1" xml:space="preserve"> (H88*0.5) + (F88*0.3) + (G88*0.2)</f>
        <v>7.0849025974025963</v>
      </c>
      <c r="J88" s="9" t="str">
        <f ca="1">IF(I88&gt;=8,"Excellent",IF(I88&gt;=6,"Good","Needs Improvement"))</f>
        <v>Good</v>
      </c>
      <c r="K88" s="16">
        <f ca="1">IF(I88&gt;=8,9000,IF(I88&gt;=6,6000,4000))</f>
        <v>6000</v>
      </c>
    </row>
    <row r="89" spans="1:11">
      <c r="A89" s="2" t="s">
        <v>174</v>
      </c>
      <c r="B89" s="13" t="s">
        <v>4</v>
      </c>
      <c r="C89" s="13" t="s">
        <v>235</v>
      </c>
      <c r="D89" s="15">
        <v>44855</v>
      </c>
      <c r="E89" s="16">
        <f ca="1">RANDBETWEEN(100,160)</f>
        <v>147</v>
      </c>
      <c r="F89" s="20">
        <f ca="1">(E89/160)*10</f>
        <v>9.1875</v>
      </c>
      <c r="G89" s="16">
        <f ca="1">RANDBETWEEN(5,10)</f>
        <v>6</v>
      </c>
      <c r="H89" s="21">
        <f ca="1">G89/E89*100</f>
        <v>4.0816326530612246</v>
      </c>
      <c r="I89" s="23">
        <f ca="1" xml:space="preserve"> (H89*0.5) + (F89*0.3) + (G89*0.2)</f>
        <v>5.9970663265306126</v>
      </c>
      <c r="J89" s="9" t="str">
        <f ca="1">IF(I89&gt;=8,"Excellent",IF(I89&gt;=6,"Good","Needs Improvement"))</f>
        <v>Needs Improvement</v>
      </c>
      <c r="K89" s="16">
        <f ca="1">IF(I89&gt;=8,9000,IF(I89&gt;=6,6000,4000))</f>
        <v>4000</v>
      </c>
    </row>
    <row r="90" spans="1:11">
      <c r="A90" s="2" t="s">
        <v>8</v>
      </c>
      <c r="B90" s="13" t="s">
        <v>220</v>
      </c>
      <c r="C90" s="13" t="s">
        <v>221</v>
      </c>
      <c r="D90" s="15">
        <v>45064</v>
      </c>
      <c r="E90" s="16">
        <f ca="1">RANDBETWEEN(100,160)</f>
        <v>149</v>
      </c>
      <c r="F90" s="20">
        <f ca="1">(E90/160)*10</f>
        <v>9.3125</v>
      </c>
      <c r="G90" s="16">
        <f ca="1">RANDBETWEEN(5,10)</f>
        <v>10</v>
      </c>
      <c r="H90" s="21">
        <f ca="1">G90/E90*100</f>
        <v>6.7114093959731544</v>
      </c>
      <c r="I90" s="23">
        <f ca="1" xml:space="preserve"> (H90*0.5) + (F90*0.3) + (G90*0.2)</f>
        <v>8.1494546979865774</v>
      </c>
      <c r="J90" s="9" t="str">
        <f ca="1">IF(I90&gt;=8,"Excellent",IF(I90&gt;=6,"Good","Needs Improvement"))</f>
        <v>Excellent</v>
      </c>
      <c r="K90" s="16">
        <f ca="1">IF(I90&gt;=8,9000,IF(I90&gt;=6,6000,4000))</f>
        <v>9000</v>
      </c>
    </row>
    <row r="91" spans="1:11">
      <c r="A91" s="2" t="s">
        <v>38</v>
      </c>
      <c r="B91" s="13" t="s">
        <v>3</v>
      </c>
      <c r="C91" s="13" t="s">
        <v>233</v>
      </c>
      <c r="D91" s="15">
        <v>45672</v>
      </c>
      <c r="E91" s="16">
        <f ca="1">RANDBETWEEN(100,160)</f>
        <v>157</v>
      </c>
      <c r="F91" s="20">
        <f ca="1">(E91/160)*10</f>
        <v>9.8125</v>
      </c>
      <c r="G91" s="16">
        <f ca="1">RANDBETWEEN(5,10)</f>
        <v>8</v>
      </c>
      <c r="H91" s="21">
        <f ca="1">G91/E91*100</f>
        <v>5.095541401273886</v>
      </c>
      <c r="I91" s="23">
        <f ca="1" xml:space="preserve"> (H91*0.5) + (F91*0.3) + (G91*0.2)</f>
        <v>7.0915207006369432</v>
      </c>
      <c r="J91" s="9" t="str">
        <f ca="1">IF(I91&gt;=8,"Excellent",IF(I91&gt;=6,"Good","Needs Improvement"))</f>
        <v>Good</v>
      </c>
      <c r="K91" s="16">
        <f ca="1">IF(I91&gt;=8,9000,IF(I91&gt;=6,6000,4000))</f>
        <v>6000</v>
      </c>
    </row>
    <row r="92" spans="1:11">
      <c r="A92" s="2" t="s">
        <v>139</v>
      </c>
      <c r="B92" s="13" t="s">
        <v>1</v>
      </c>
      <c r="C92" s="13" t="s">
        <v>225</v>
      </c>
      <c r="D92" s="15">
        <v>45721</v>
      </c>
      <c r="E92" s="16">
        <f ca="1">RANDBETWEEN(100,160)</f>
        <v>144</v>
      </c>
      <c r="F92" s="20">
        <f ca="1">(E92/160)*10</f>
        <v>9</v>
      </c>
      <c r="G92" s="16">
        <f ca="1">RANDBETWEEN(5,10)</f>
        <v>8</v>
      </c>
      <c r="H92" s="21">
        <f ca="1">G92/E92*100</f>
        <v>5.5555555555555554</v>
      </c>
      <c r="I92" s="23">
        <f ca="1" xml:space="preserve"> (H92*0.5) + (F92*0.3) + (G92*0.2)</f>
        <v>7.0777777777777775</v>
      </c>
      <c r="J92" s="9" t="str">
        <f ca="1">IF(I92&gt;=8,"Excellent",IF(I92&gt;=6,"Good","Needs Improvement"))</f>
        <v>Good</v>
      </c>
      <c r="K92" s="16">
        <f ca="1">IF(I92&gt;=8,9000,IF(I92&gt;=6,6000,4000))</f>
        <v>6000</v>
      </c>
    </row>
    <row r="93" spans="1:11">
      <c r="A93" s="2" t="s">
        <v>46</v>
      </c>
      <c r="B93" s="13" t="s">
        <v>4</v>
      </c>
      <c r="C93" s="13" t="s">
        <v>235</v>
      </c>
      <c r="D93" s="15">
        <v>45883</v>
      </c>
      <c r="E93" s="16">
        <f ca="1">RANDBETWEEN(100,160)</f>
        <v>119</v>
      </c>
      <c r="F93" s="20">
        <f ca="1">(E93/160)*10</f>
        <v>7.4375</v>
      </c>
      <c r="G93" s="16">
        <f ca="1">RANDBETWEEN(5,10)</f>
        <v>7</v>
      </c>
      <c r="H93" s="21">
        <f ca="1">G93/E93*100</f>
        <v>5.8823529411764701</v>
      </c>
      <c r="I93" s="23">
        <f ca="1" xml:space="preserve"> (H93*0.5) + (F93*0.3) + (G93*0.2)</f>
        <v>6.5724264705882351</v>
      </c>
      <c r="J93" s="9" t="str">
        <f ca="1">IF(I93&gt;=8,"Excellent",IF(I93&gt;=6,"Good","Needs Improvement"))</f>
        <v>Good</v>
      </c>
      <c r="K93" s="16">
        <f ca="1">IF(I93&gt;=8,9000,IF(I93&gt;=6,6000,4000))</f>
        <v>6000</v>
      </c>
    </row>
    <row r="94" spans="1:11">
      <c r="A94" s="2" t="s">
        <v>117</v>
      </c>
      <c r="B94" s="13" t="s">
        <v>3</v>
      </c>
      <c r="C94" s="13" t="s">
        <v>231</v>
      </c>
      <c r="D94" s="15">
        <v>45530</v>
      </c>
      <c r="E94" s="16">
        <f ca="1">RANDBETWEEN(100,160)</f>
        <v>134</v>
      </c>
      <c r="F94" s="20">
        <f ca="1">(E94/160)*10</f>
        <v>8.375</v>
      </c>
      <c r="G94" s="16">
        <f ca="1">RANDBETWEEN(5,10)</f>
        <v>8</v>
      </c>
      <c r="H94" s="21">
        <f ca="1">G94/E94*100</f>
        <v>5.9701492537313428</v>
      </c>
      <c r="I94" s="23">
        <f ca="1" xml:space="preserve"> (H94*0.5) + (F94*0.3) + (G94*0.2)</f>
        <v>7.0975746268656703</v>
      </c>
      <c r="J94" s="9" t="str">
        <f ca="1">IF(I94&gt;=8,"Excellent",IF(I94&gt;=6,"Good","Needs Improvement"))</f>
        <v>Good</v>
      </c>
      <c r="K94" s="16">
        <f ca="1">IF(I94&gt;=8,9000,IF(I94&gt;=6,6000,4000))</f>
        <v>6000</v>
      </c>
    </row>
    <row r="95" spans="1:11">
      <c r="A95" s="2" t="s">
        <v>88</v>
      </c>
      <c r="B95" s="13" t="s">
        <v>3</v>
      </c>
      <c r="C95" s="13" t="s">
        <v>233</v>
      </c>
      <c r="D95" s="15">
        <v>45481</v>
      </c>
      <c r="E95" s="16">
        <f ca="1">RANDBETWEEN(100,160)</f>
        <v>123</v>
      </c>
      <c r="F95" s="20">
        <f ca="1">(E95/160)*10</f>
        <v>7.6875</v>
      </c>
      <c r="G95" s="16">
        <f ca="1">RANDBETWEEN(5,10)</f>
        <v>10</v>
      </c>
      <c r="H95" s="21">
        <f ca="1">G95/E95*100</f>
        <v>8.1300813008130071</v>
      </c>
      <c r="I95" s="23">
        <f ca="1" xml:space="preserve"> (H95*0.5) + (F95*0.3) + (G95*0.2)</f>
        <v>8.3712906504065039</v>
      </c>
      <c r="J95" s="9" t="str">
        <f ca="1">IF(I95&gt;=8,"Excellent",IF(I95&gt;=6,"Good","Needs Improvement"))</f>
        <v>Excellent</v>
      </c>
      <c r="K95" s="16">
        <f ca="1">IF(I95&gt;=8,9000,IF(I95&gt;=6,6000,4000))</f>
        <v>9000</v>
      </c>
    </row>
    <row r="96" spans="1:11">
      <c r="A96" s="2" t="s">
        <v>134</v>
      </c>
      <c r="B96" s="13" t="s">
        <v>220</v>
      </c>
      <c r="C96" s="13" t="s">
        <v>221</v>
      </c>
      <c r="D96" s="15">
        <v>45559</v>
      </c>
      <c r="E96" s="16">
        <f ca="1">RANDBETWEEN(100,160)</f>
        <v>137</v>
      </c>
      <c r="F96" s="20">
        <f ca="1">(E96/160)*10</f>
        <v>8.5625</v>
      </c>
      <c r="G96" s="16">
        <f ca="1">RANDBETWEEN(5,10)</f>
        <v>5</v>
      </c>
      <c r="H96" s="21">
        <f ca="1">G96/E96*100</f>
        <v>3.6496350364963499</v>
      </c>
      <c r="I96" s="23">
        <f ca="1" xml:space="preserve"> (H96*0.5) + (F96*0.3) + (G96*0.2)</f>
        <v>5.393567518248175</v>
      </c>
      <c r="J96" s="9" t="str">
        <f ca="1">IF(I96&gt;=8,"Excellent",IF(I96&gt;=6,"Good","Needs Improvement"))</f>
        <v>Needs Improvement</v>
      </c>
      <c r="K96" s="16">
        <f ca="1">IF(I96&gt;=8,9000,IF(I96&gt;=6,6000,4000))</f>
        <v>4000</v>
      </c>
    </row>
    <row r="97" spans="1:11">
      <c r="A97" s="2" t="s">
        <v>176</v>
      </c>
      <c r="B97" s="13" t="s">
        <v>4</v>
      </c>
      <c r="C97" s="13" t="s">
        <v>237</v>
      </c>
      <c r="D97" s="15">
        <v>44936</v>
      </c>
      <c r="E97" s="16">
        <f ca="1">RANDBETWEEN(100,160)</f>
        <v>147</v>
      </c>
      <c r="F97" s="20">
        <f ca="1">(E97/160)*10</f>
        <v>9.1875</v>
      </c>
      <c r="G97" s="16">
        <f ca="1">RANDBETWEEN(5,10)</f>
        <v>10</v>
      </c>
      <c r="H97" s="21">
        <f ca="1">G97/E97*100</f>
        <v>6.8027210884353746</v>
      </c>
      <c r="I97" s="23">
        <f ca="1" xml:space="preserve"> (H97*0.5) + (F97*0.3) + (G97*0.2)</f>
        <v>8.1576105442176878</v>
      </c>
      <c r="J97" s="9" t="str">
        <f ca="1">IF(I97&gt;=8,"Excellent",IF(I97&gt;=6,"Good","Needs Improvement"))</f>
        <v>Excellent</v>
      </c>
      <c r="K97" s="16">
        <f ca="1">IF(I97&gt;=8,9000,IF(I97&gt;=6,6000,4000))</f>
        <v>9000</v>
      </c>
    </row>
    <row r="98" spans="1:11">
      <c r="A98" s="2" t="s">
        <v>17</v>
      </c>
      <c r="B98" s="13" t="s">
        <v>1</v>
      </c>
      <c r="C98" s="13" t="s">
        <v>226</v>
      </c>
      <c r="D98" s="15">
        <v>45530</v>
      </c>
      <c r="E98" s="16">
        <f ca="1">RANDBETWEEN(100,160)</f>
        <v>156</v>
      </c>
      <c r="F98" s="20">
        <f ca="1">(E98/160)*10</f>
        <v>9.75</v>
      </c>
      <c r="G98" s="16">
        <f ca="1">RANDBETWEEN(5,10)</f>
        <v>5</v>
      </c>
      <c r="H98" s="21">
        <f ca="1">G98/E98*100</f>
        <v>3.2051282051282048</v>
      </c>
      <c r="I98" s="23">
        <f ca="1" xml:space="preserve"> (H98*0.5) + (F98*0.3) + (G98*0.2)</f>
        <v>5.527564102564102</v>
      </c>
      <c r="J98" s="9" t="str">
        <f ca="1">IF(I98&gt;=8,"Excellent",IF(I98&gt;=6,"Good","Needs Improvement"))</f>
        <v>Needs Improvement</v>
      </c>
      <c r="K98" s="16">
        <f ca="1">IF(I98&gt;=8,9000,IF(I98&gt;=6,6000,4000))</f>
        <v>4000</v>
      </c>
    </row>
    <row r="99" spans="1:11">
      <c r="A99" s="2" t="s">
        <v>173</v>
      </c>
      <c r="B99" s="13" t="s">
        <v>4</v>
      </c>
      <c r="C99" s="13" t="s">
        <v>234</v>
      </c>
      <c r="D99" s="15">
        <v>44853</v>
      </c>
      <c r="E99" s="16">
        <f ca="1">RANDBETWEEN(100,160)</f>
        <v>150</v>
      </c>
      <c r="F99" s="20">
        <f ca="1">(E99/160)*10</f>
        <v>9.375</v>
      </c>
      <c r="G99" s="16">
        <f ca="1">RANDBETWEEN(5,10)</f>
        <v>5</v>
      </c>
      <c r="H99" s="21">
        <f ca="1">G99/E99*100</f>
        <v>3.3333333333333335</v>
      </c>
      <c r="I99" s="23">
        <f ca="1" xml:space="preserve"> (H99*0.5) + (F99*0.3) + (G99*0.2)</f>
        <v>5.479166666666667</v>
      </c>
      <c r="J99" s="9" t="str">
        <f ca="1">IF(I99&gt;=8,"Excellent",IF(I99&gt;=6,"Good","Needs Improvement"))</f>
        <v>Needs Improvement</v>
      </c>
      <c r="K99" s="16">
        <f ca="1">IF(I99&gt;=8,9000,IF(I99&gt;=6,6000,4000))</f>
        <v>4000</v>
      </c>
    </row>
    <row r="100" spans="1:11">
      <c r="A100" s="2" t="s">
        <v>109</v>
      </c>
      <c r="B100" s="13" t="s">
        <v>3</v>
      </c>
      <c r="C100" s="13" t="s">
        <v>231</v>
      </c>
      <c r="D100" s="15">
        <v>45142</v>
      </c>
      <c r="E100" s="16">
        <f ca="1">RANDBETWEEN(100,160)</f>
        <v>151</v>
      </c>
      <c r="F100" s="20">
        <f ca="1">(E100/160)*10</f>
        <v>9.4375</v>
      </c>
      <c r="G100" s="16">
        <f ca="1">RANDBETWEEN(5,10)</f>
        <v>6</v>
      </c>
      <c r="H100" s="21">
        <f ca="1">G100/E100*100</f>
        <v>3.9735099337748347</v>
      </c>
      <c r="I100" s="23">
        <f ca="1" xml:space="preserve"> (H100*0.5) + (F100*0.3) + (G100*0.2)</f>
        <v>6.0180049668874176</v>
      </c>
      <c r="J100" s="9" t="str">
        <f ca="1">IF(I100&gt;=8,"Excellent",IF(I100&gt;=6,"Good","Needs Improvement"))</f>
        <v>Good</v>
      </c>
      <c r="K100" s="16">
        <f ca="1">IF(I100&gt;=8,9000,IF(I100&gt;=6,6000,4000))</f>
        <v>6000</v>
      </c>
    </row>
    <row r="101" spans="1:11">
      <c r="A101" s="2" t="s">
        <v>130</v>
      </c>
      <c r="B101" s="13" t="s">
        <v>220</v>
      </c>
      <c r="C101" s="13" t="s">
        <v>223</v>
      </c>
      <c r="D101" s="15">
        <v>45363</v>
      </c>
      <c r="E101" s="16">
        <f ca="1">RANDBETWEEN(100,160)</f>
        <v>158</v>
      </c>
      <c r="F101" s="20">
        <f ca="1">(E101/160)*10</f>
        <v>9.875</v>
      </c>
      <c r="G101" s="16">
        <f ca="1">RANDBETWEEN(5,10)</f>
        <v>9</v>
      </c>
      <c r="H101" s="21">
        <f ca="1">G101/E101*100</f>
        <v>5.6962025316455698</v>
      </c>
      <c r="I101" s="23">
        <f ca="1" xml:space="preserve"> (H101*0.5) + (F101*0.3) + (G101*0.2)</f>
        <v>7.6106012658227842</v>
      </c>
      <c r="J101" s="9" t="str">
        <f ca="1">IF(I101&gt;=8,"Excellent",IF(I101&gt;=6,"Good","Needs Improvement"))</f>
        <v>Good</v>
      </c>
      <c r="K101" s="16">
        <f ca="1">IF(I101&gt;=8,9000,IF(I101&gt;=6,6000,4000))</f>
        <v>6000</v>
      </c>
    </row>
    <row r="102" spans="1:11">
      <c r="A102" s="2" t="s">
        <v>59</v>
      </c>
      <c r="B102" s="13" t="s">
        <v>220</v>
      </c>
      <c r="C102" s="13" t="s">
        <v>222</v>
      </c>
      <c r="D102" s="15">
        <v>44677</v>
      </c>
      <c r="E102" s="16">
        <f ca="1">RANDBETWEEN(100,160)</f>
        <v>126</v>
      </c>
      <c r="F102" s="20">
        <f ca="1">(E102/160)*10</f>
        <v>7.875</v>
      </c>
      <c r="G102" s="16">
        <f ca="1">RANDBETWEEN(5,10)</f>
        <v>10</v>
      </c>
      <c r="H102" s="21">
        <f ca="1">G102/E102*100</f>
        <v>7.9365079365079358</v>
      </c>
      <c r="I102" s="23">
        <f ca="1" xml:space="preserve"> (H102*0.5) + (F102*0.3) + (G102*0.2)</f>
        <v>8.3307539682539673</v>
      </c>
      <c r="J102" s="9" t="str">
        <f ca="1">IF(I102&gt;=8,"Excellent",IF(I102&gt;=6,"Good","Needs Improvement"))</f>
        <v>Excellent</v>
      </c>
      <c r="K102" s="16">
        <f ca="1">IF(I102&gt;=8,9000,IF(I102&gt;=6,6000,4000))</f>
        <v>9000</v>
      </c>
    </row>
    <row r="103" spans="1:11">
      <c r="A103" s="2" t="s">
        <v>196</v>
      </c>
      <c r="B103" s="13" t="s">
        <v>3</v>
      </c>
      <c r="C103" s="13" t="s">
        <v>232</v>
      </c>
      <c r="D103" s="15">
        <v>45664</v>
      </c>
      <c r="E103" s="16">
        <f ca="1">RANDBETWEEN(100,160)</f>
        <v>116</v>
      </c>
      <c r="F103" s="20">
        <f ca="1">(E103/160)*10</f>
        <v>7.25</v>
      </c>
      <c r="G103" s="16">
        <f ca="1">RANDBETWEEN(5,10)</f>
        <v>10</v>
      </c>
      <c r="H103" s="21">
        <f ca="1">G103/E103*100</f>
        <v>8.6206896551724146</v>
      </c>
      <c r="I103" s="23">
        <f ca="1" xml:space="preserve"> (H103*0.5) + (F103*0.3) + (G103*0.2)</f>
        <v>8.4853448275862071</v>
      </c>
      <c r="J103" s="9" t="str">
        <f ca="1">IF(I103&gt;=8,"Excellent",IF(I103&gt;=6,"Good","Needs Improvement"))</f>
        <v>Excellent</v>
      </c>
      <c r="K103" s="16">
        <f ca="1">IF(I103&gt;=8,9000,IF(I103&gt;=6,6000,4000))</f>
        <v>9000</v>
      </c>
    </row>
    <row r="104" spans="1:11">
      <c r="A104" s="2" t="s">
        <v>41</v>
      </c>
      <c r="B104" s="13" t="s">
        <v>3</v>
      </c>
      <c r="C104" s="13" t="s">
        <v>232</v>
      </c>
      <c r="D104" s="15">
        <v>45727</v>
      </c>
      <c r="E104" s="16">
        <f ca="1">RANDBETWEEN(100,160)</f>
        <v>105</v>
      </c>
      <c r="F104" s="20">
        <f ca="1">(E104/160)*10</f>
        <v>6.5625</v>
      </c>
      <c r="G104" s="16">
        <f ca="1">RANDBETWEEN(5,10)</f>
        <v>6</v>
      </c>
      <c r="H104" s="21">
        <f ca="1">G104/E104*100</f>
        <v>5.7142857142857144</v>
      </c>
      <c r="I104" s="23">
        <f ca="1" xml:space="preserve"> (H104*0.5) + (F104*0.3) + (G104*0.2)</f>
        <v>6.0258928571428578</v>
      </c>
      <c r="J104" s="9" t="str">
        <f ca="1">IF(I104&gt;=8,"Excellent",IF(I104&gt;=6,"Good","Needs Improvement"))</f>
        <v>Good</v>
      </c>
      <c r="K104" s="16">
        <f ca="1">IF(I104&gt;=8,9000,IF(I104&gt;=6,6000,4000))</f>
        <v>6000</v>
      </c>
    </row>
    <row r="105" spans="1:11">
      <c r="A105" s="2" t="s">
        <v>170</v>
      </c>
      <c r="B105" s="13" t="s">
        <v>4</v>
      </c>
      <c r="C105" s="13" t="s">
        <v>236</v>
      </c>
      <c r="D105" s="15">
        <v>44824</v>
      </c>
      <c r="E105" s="16">
        <f ca="1">RANDBETWEEN(100,160)</f>
        <v>100</v>
      </c>
      <c r="F105" s="20">
        <f ca="1">(E105/160)*10</f>
        <v>6.25</v>
      </c>
      <c r="G105" s="16">
        <f ca="1">RANDBETWEEN(5,10)</f>
        <v>8</v>
      </c>
      <c r="H105" s="21">
        <f ca="1">G105/E105*100</f>
        <v>8</v>
      </c>
      <c r="I105" s="23">
        <f ca="1" xml:space="preserve"> (H105*0.5) + (F105*0.3) + (G105*0.2)</f>
        <v>7.4749999999999996</v>
      </c>
      <c r="J105" s="9" t="str">
        <f ca="1">IF(I105&gt;=8,"Excellent",IF(I105&gt;=6,"Good","Needs Improvement"))</f>
        <v>Good</v>
      </c>
      <c r="K105" s="16">
        <f ca="1">IF(I105&gt;=8,9000,IF(I105&gt;=6,6000,4000))</f>
        <v>6000</v>
      </c>
    </row>
    <row r="106" spans="1:11">
      <c r="A106" s="2" t="s">
        <v>153</v>
      </c>
      <c r="B106" s="13" t="s">
        <v>2</v>
      </c>
      <c r="C106" s="13" t="s">
        <v>229</v>
      </c>
      <c r="D106" s="15">
        <v>46101</v>
      </c>
      <c r="E106" s="16">
        <f ca="1">RANDBETWEEN(100,160)</f>
        <v>146</v>
      </c>
      <c r="F106" s="20">
        <f ca="1">(E106/160)*10</f>
        <v>9.125</v>
      </c>
      <c r="G106" s="16">
        <f ca="1">RANDBETWEEN(5,10)</f>
        <v>6</v>
      </c>
      <c r="H106" s="21">
        <f ca="1">G106/E106*100</f>
        <v>4.10958904109589</v>
      </c>
      <c r="I106" s="23">
        <f ca="1" xml:space="preserve"> (H106*0.5) + (F106*0.3) + (G106*0.2)</f>
        <v>5.9922945205479445</v>
      </c>
      <c r="J106" s="9" t="str">
        <f ca="1">IF(I106&gt;=8,"Excellent",IF(I106&gt;=6,"Good","Needs Improvement"))</f>
        <v>Needs Improvement</v>
      </c>
      <c r="K106" s="16">
        <f ca="1">IF(I106&gt;=8,9000,IF(I106&gt;=6,6000,4000))</f>
        <v>4000</v>
      </c>
    </row>
    <row r="107" spans="1:11">
      <c r="A107" s="2" t="s">
        <v>19</v>
      </c>
      <c r="B107" s="13" t="s">
        <v>1</v>
      </c>
      <c r="C107" s="13" t="s">
        <v>225</v>
      </c>
      <c r="D107" s="15">
        <v>45569</v>
      </c>
      <c r="E107" s="16">
        <f ca="1">RANDBETWEEN(100,160)</f>
        <v>101</v>
      </c>
      <c r="F107" s="20">
        <f ca="1">(E107/160)*10</f>
        <v>6.3125</v>
      </c>
      <c r="G107" s="16">
        <f ca="1">RANDBETWEEN(5,10)</f>
        <v>8</v>
      </c>
      <c r="H107" s="21">
        <f ca="1">G107/E107*100</f>
        <v>7.9207920792079207</v>
      </c>
      <c r="I107" s="23">
        <f ca="1" xml:space="preserve"> (H107*0.5) + (F107*0.3) + (G107*0.2)</f>
        <v>7.4541460396039607</v>
      </c>
      <c r="J107" s="9" t="str">
        <f ca="1">IF(I107&gt;=8,"Excellent",IF(I107&gt;=6,"Good","Needs Improvement"))</f>
        <v>Good</v>
      </c>
      <c r="K107" s="16">
        <f ca="1">IF(I107&gt;=8,9000,IF(I107&gt;=6,6000,4000))</f>
        <v>6000</v>
      </c>
    </row>
    <row r="108" spans="1:11">
      <c r="A108" s="2" t="s">
        <v>34</v>
      </c>
      <c r="B108" s="13" t="s">
        <v>2</v>
      </c>
      <c r="C108" s="13" t="s">
        <v>227</v>
      </c>
      <c r="D108" s="15">
        <v>45559</v>
      </c>
      <c r="E108" s="16">
        <f ca="1">RANDBETWEEN(100,160)</f>
        <v>142</v>
      </c>
      <c r="F108" s="20">
        <f ca="1">(E108/160)*10</f>
        <v>8.875</v>
      </c>
      <c r="G108" s="16">
        <f ca="1">RANDBETWEEN(5,10)</f>
        <v>8</v>
      </c>
      <c r="H108" s="21">
        <f ca="1">G108/E108*100</f>
        <v>5.6338028169014089</v>
      </c>
      <c r="I108" s="23">
        <f ca="1" xml:space="preserve"> (H108*0.5) + (F108*0.3) + (G108*0.2)</f>
        <v>7.0794014084507051</v>
      </c>
      <c r="J108" s="9" t="str">
        <f ca="1">IF(I108&gt;=8,"Excellent",IF(I108&gt;=6,"Good","Needs Improvement"))</f>
        <v>Good</v>
      </c>
      <c r="K108" s="16">
        <f ca="1">IF(I108&gt;=8,9000,IF(I108&gt;=6,6000,4000))</f>
        <v>6000</v>
      </c>
    </row>
    <row r="109" spans="1:11">
      <c r="A109" s="2" t="s">
        <v>162</v>
      </c>
      <c r="B109" s="13" t="s">
        <v>3</v>
      </c>
      <c r="C109" s="13" t="s">
        <v>230</v>
      </c>
      <c r="D109" s="15">
        <v>44690</v>
      </c>
      <c r="E109" s="16">
        <f ca="1">RANDBETWEEN(100,160)</f>
        <v>104</v>
      </c>
      <c r="F109" s="20">
        <f ca="1">(E109/160)*10</f>
        <v>6.5</v>
      </c>
      <c r="G109" s="16">
        <f ca="1">RANDBETWEEN(5,10)</f>
        <v>6</v>
      </c>
      <c r="H109" s="21">
        <f ca="1">G109/E109*100</f>
        <v>5.7692307692307692</v>
      </c>
      <c r="I109" s="23">
        <f ca="1" xml:space="preserve"> (H109*0.5) + (F109*0.3) + (G109*0.2)</f>
        <v>6.0346153846153845</v>
      </c>
      <c r="J109" s="9" t="str">
        <f ca="1">IF(I109&gt;=8,"Excellent",IF(I109&gt;=6,"Good","Needs Improvement"))</f>
        <v>Good</v>
      </c>
      <c r="K109" s="16">
        <f ca="1">IF(I109&gt;=8,9000,IF(I109&gt;=6,6000,4000))</f>
        <v>6000</v>
      </c>
    </row>
    <row r="110" spans="1:11">
      <c r="A110" s="2" t="s">
        <v>91</v>
      </c>
      <c r="B110" s="13" t="s">
        <v>3</v>
      </c>
      <c r="C110" s="13" t="s">
        <v>232</v>
      </c>
      <c r="D110" s="15">
        <v>45541</v>
      </c>
      <c r="E110" s="16">
        <f ca="1">RANDBETWEEN(100,160)</f>
        <v>132</v>
      </c>
      <c r="F110" s="20">
        <f ca="1">(E110/160)*10</f>
        <v>8.25</v>
      </c>
      <c r="G110" s="16">
        <f ca="1">RANDBETWEEN(5,10)</f>
        <v>10</v>
      </c>
      <c r="H110" s="21">
        <f ca="1">G110/E110*100</f>
        <v>7.5757575757575761</v>
      </c>
      <c r="I110" s="23">
        <f ca="1" xml:space="preserve"> (H110*0.5) + (F110*0.3) + (G110*0.2)</f>
        <v>8.2628787878787886</v>
      </c>
      <c r="J110" s="9" t="str">
        <f ca="1">IF(I110&gt;=8,"Excellent",IF(I110&gt;=6,"Good","Needs Improvement"))</f>
        <v>Excellent</v>
      </c>
      <c r="K110" s="16">
        <f ca="1">IF(I110&gt;=8,9000,IF(I110&gt;=6,6000,4000))</f>
        <v>9000</v>
      </c>
    </row>
    <row r="111" spans="1:11">
      <c r="A111" s="2" t="s">
        <v>99</v>
      </c>
      <c r="B111" s="13" t="s">
        <v>4</v>
      </c>
      <c r="C111" s="13" t="s">
        <v>238</v>
      </c>
      <c r="D111" s="15">
        <v>45698</v>
      </c>
      <c r="E111" s="16">
        <f ca="1">RANDBETWEEN(100,160)</f>
        <v>140</v>
      </c>
      <c r="F111" s="20">
        <f ca="1">(E111/160)*10</f>
        <v>8.75</v>
      </c>
      <c r="G111" s="16">
        <f ca="1">RANDBETWEEN(5,10)</f>
        <v>8</v>
      </c>
      <c r="H111" s="21">
        <f ca="1">G111/E111*100</f>
        <v>5.7142857142857144</v>
      </c>
      <c r="I111" s="23">
        <f ca="1" xml:space="preserve"> (H111*0.5) + (F111*0.3) + (G111*0.2)</f>
        <v>7.0821428571428573</v>
      </c>
      <c r="J111" s="9" t="str">
        <f ca="1">IF(I111&gt;=8,"Excellent",IF(I111&gt;=6,"Good","Needs Improvement"))</f>
        <v>Good</v>
      </c>
      <c r="K111" s="16">
        <f ca="1">IF(I111&gt;=8,9000,IF(I111&gt;=6,6000,4000))</f>
        <v>6000</v>
      </c>
    </row>
    <row r="112" spans="1:11">
      <c r="A112" s="2" t="s">
        <v>138</v>
      </c>
      <c r="B112" s="13" t="s">
        <v>1</v>
      </c>
      <c r="C112" s="13" t="s">
        <v>224</v>
      </c>
      <c r="D112" s="15">
        <v>45672</v>
      </c>
      <c r="E112" s="16">
        <f ca="1">RANDBETWEEN(100,160)</f>
        <v>132</v>
      </c>
      <c r="F112" s="20">
        <f ca="1">(E112/160)*10</f>
        <v>8.25</v>
      </c>
      <c r="G112" s="16">
        <f ca="1">RANDBETWEEN(5,10)</f>
        <v>5</v>
      </c>
      <c r="H112" s="21">
        <f ca="1">G112/E112*100</f>
        <v>3.7878787878787881</v>
      </c>
      <c r="I112" s="23">
        <f ca="1" xml:space="preserve"> (H112*0.5) + (F112*0.3) + (G112*0.2)</f>
        <v>5.3689393939393941</v>
      </c>
      <c r="J112" s="9" t="str">
        <f ca="1">IF(I112&gt;=8,"Excellent",IF(I112&gt;=6,"Good","Needs Improvement"))</f>
        <v>Needs Improvement</v>
      </c>
      <c r="K112" s="16">
        <f ca="1">IF(I112&gt;=8,9000,IF(I112&gt;=6,6000,4000))</f>
        <v>4000</v>
      </c>
    </row>
    <row r="113" spans="1:11">
      <c r="A113" s="2" t="s">
        <v>90</v>
      </c>
      <c r="B113" s="13" t="s">
        <v>3</v>
      </c>
      <c r="C113" s="13" t="s">
        <v>231</v>
      </c>
      <c r="D113" s="15">
        <v>45503</v>
      </c>
      <c r="E113" s="16">
        <f ca="1">RANDBETWEEN(100,160)</f>
        <v>118</v>
      </c>
      <c r="F113" s="20">
        <f ca="1">(E113/160)*10</f>
        <v>7.375</v>
      </c>
      <c r="G113" s="16">
        <f ca="1">RANDBETWEEN(5,10)</f>
        <v>5</v>
      </c>
      <c r="H113" s="21">
        <f ca="1">G113/E113*100</f>
        <v>4.2372881355932197</v>
      </c>
      <c r="I113" s="23">
        <f ca="1" xml:space="preserve"> (H113*0.5) + (F113*0.3) + (G113*0.2)</f>
        <v>5.3311440677966093</v>
      </c>
      <c r="J113" s="9" t="str">
        <f ca="1">IF(I113&gt;=8,"Excellent",IF(I113&gt;=6,"Good","Needs Improvement"))</f>
        <v>Needs Improvement</v>
      </c>
      <c r="K113" s="16">
        <f ca="1">IF(I113&gt;=8,9000,IF(I113&gt;=6,6000,4000))</f>
        <v>4000</v>
      </c>
    </row>
    <row r="114" spans="1:11">
      <c r="A114" s="2" t="s">
        <v>75</v>
      </c>
      <c r="B114" s="13" t="s">
        <v>2</v>
      </c>
      <c r="C114" s="13" t="s">
        <v>227</v>
      </c>
      <c r="D114" s="15">
        <v>44862</v>
      </c>
      <c r="E114" s="16">
        <f ca="1">RANDBETWEEN(100,160)</f>
        <v>143</v>
      </c>
      <c r="F114" s="20">
        <f ca="1">(E114/160)*10</f>
        <v>8.9375</v>
      </c>
      <c r="G114" s="16">
        <f ca="1">RANDBETWEEN(5,10)</f>
        <v>9</v>
      </c>
      <c r="H114" s="21">
        <f ca="1">G114/E114*100</f>
        <v>6.2937062937062942</v>
      </c>
      <c r="I114" s="23">
        <f ca="1" xml:space="preserve"> (H114*0.5) + (F114*0.3) + (G114*0.2)</f>
        <v>7.6281031468531468</v>
      </c>
      <c r="J114" s="9" t="str">
        <f ca="1">IF(I114&gt;=8,"Excellent",IF(I114&gt;=6,"Good","Needs Improvement"))</f>
        <v>Good</v>
      </c>
      <c r="K114" s="16">
        <f ca="1">IF(I114&gt;=8,9000,IF(I114&gt;=6,6000,4000))</f>
        <v>6000</v>
      </c>
    </row>
    <row r="115" spans="1:11">
      <c r="A115" s="2" t="s">
        <v>70</v>
      </c>
      <c r="B115" s="13" t="s">
        <v>1</v>
      </c>
      <c r="C115" s="13" t="s">
        <v>226</v>
      </c>
      <c r="D115" s="15">
        <v>44824</v>
      </c>
      <c r="E115" s="16">
        <f ca="1">RANDBETWEEN(100,160)</f>
        <v>156</v>
      </c>
      <c r="F115" s="20">
        <f ca="1">(E115/160)*10</f>
        <v>9.75</v>
      </c>
      <c r="G115" s="16">
        <f ca="1">RANDBETWEEN(5,10)</f>
        <v>9</v>
      </c>
      <c r="H115" s="21">
        <f ca="1">G115/E115*100</f>
        <v>5.7692307692307692</v>
      </c>
      <c r="I115" s="23">
        <f ca="1" xml:space="preserve"> (H115*0.5) + (F115*0.3) + (G115*0.2)</f>
        <v>7.6096153846153838</v>
      </c>
      <c r="J115" s="9" t="str">
        <f ca="1">IF(I115&gt;=8,"Excellent",IF(I115&gt;=6,"Good","Needs Improvement"))</f>
        <v>Good</v>
      </c>
      <c r="K115" s="16">
        <f ca="1">IF(I115&gt;=8,9000,IF(I115&gt;=6,6000,4000))</f>
        <v>6000</v>
      </c>
    </row>
    <row r="116" spans="1:11">
      <c r="A116" s="2" t="s">
        <v>128</v>
      </c>
      <c r="B116" s="13" t="s">
        <v>220</v>
      </c>
      <c r="C116" s="13" t="s">
        <v>221</v>
      </c>
      <c r="D116" s="15">
        <v>46058</v>
      </c>
      <c r="E116" s="16">
        <f ca="1">RANDBETWEEN(100,160)</f>
        <v>118</v>
      </c>
      <c r="F116" s="20">
        <f ca="1">(E116/160)*10</f>
        <v>7.375</v>
      </c>
      <c r="G116" s="16">
        <f ca="1">RANDBETWEEN(5,10)</f>
        <v>8</v>
      </c>
      <c r="H116" s="21">
        <f ca="1">G116/E116*100</f>
        <v>6.7796610169491522</v>
      </c>
      <c r="I116" s="23">
        <f ca="1" xml:space="preserve"> (H116*0.5) + (F116*0.3) + (G116*0.2)</f>
        <v>7.2023305084745761</v>
      </c>
      <c r="J116" s="9" t="str">
        <f ca="1">IF(I116&gt;=8,"Excellent",IF(I116&gt;=6,"Good","Needs Improvement"))</f>
        <v>Good</v>
      </c>
      <c r="K116" s="16">
        <f ca="1">IF(I116&gt;=8,9000,IF(I116&gt;=6,6000,4000))</f>
        <v>6000</v>
      </c>
    </row>
    <row r="117" spans="1:11">
      <c r="A117" s="2" t="s">
        <v>141</v>
      </c>
      <c r="B117" s="13" t="s">
        <v>1</v>
      </c>
      <c r="C117" s="13" t="s">
        <v>224</v>
      </c>
      <c r="D117" s="15">
        <v>45727</v>
      </c>
      <c r="E117" s="16">
        <f ca="1">RANDBETWEEN(100,160)</f>
        <v>105</v>
      </c>
      <c r="F117" s="20">
        <f ca="1">(E117/160)*10</f>
        <v>6.5625</v>
      </c>
      <c r="G117" s="16">
        <f ca="1">RANDBETWEEN(5,10)</f>
        <v>10</v>
      </c>
      <c r="H117" s="21">
        <f ca="1">G117/E117*100</f>
        <v>9.5238095238095237</v>
      </c>
      <c r="I117" s="23">
        <f ca="1" xml:space="preserve"> (H117*0.5) + (F117*0.3) + (G117*0.2)</f>
        <v>8.7306547619047628</v>
      </c>
      <c r="J117" s="9" t="str">
        <f ca="1">IF(I117&gt;=8,"Excellent",IF(I117&gt;=6,"Good","Needs Improvement"))</f>
        <v>Excellent</v>
      </c>
      <c r="K117" s="16">
        <f ca="1">IF(I117&gt;=8,9000,IF(I117&gt;=6,6000,4000))</f>
        <v>9000</v>
      </c>
    </row>
    <row r="118" spans="1:11">
      <c r="A118" s="2" t="s">
        <v>207</v>
      </c>
      <c r="B118" s="13" t="s">
        <v>4</v>
      </c>
      <c r="C118" s="13" t="s">
        <v>236</v>
      </c>
      <c r="D118" s="15">
        <v>44711</v>
      </c>
      <c r="E118" s="16">
        <f ca="1">RANDBETWEEN(100,160)</f>
        <v>112</v>
      </c>
      <c r="F118" s="20">
        <f ca="1">(E118/160)*10</f>
        <v>7</v>
      </c>
      <c r="G118" s="16">
        <f ca="1">RANDBETWEEN(5,10)</f>
        <v>8</v>
      </c>
      <c r="H118" s="21">
        <f ca="1">G118/E118*100</f>
        <v>7.1428571428571423</v>
      </c>
      <c r="I118" s="23">
        <f ca="1" xml:space="preserve"> (H118*0.5) + (F118*0.3) + (G118*0.2)</f>
        <v>7.2714285714285705</v>
      </c>
      <c r="J118" s="9" t="str">
        <f ca="1">IF(I118&gt;=8,"Excellent",IF(I118&gt;=6,"Good","Needs Improvement"))</f>
        <v>Good</v>
      </c>
      <c r="K118" s="16">
        <f ca="1">IF(I118&gt;=8,9000,IF(I118&gt;=6,6000,4000))</f>
        <v>6000</v>
      </c>
    </row>
    <row r="119" spans="1:11">
      <c r="A119" s="2" t="s">
        <v>42</v>
      </c>
      <c r="B119" s="13" t="s">
        <v>3</v>
      </c>
      <c r="C119" s="13" t="s">
        <v>233</v>
      </c>
      <c r="D119" s="15">
        <v>45743</v>
      </c>
      <c r="E119" s="16">
        <f ca="1">RANDBETWEEN(100,160)</f>
        <v>149</v>
      </c>
      <c r="F119" s="20">
        <f ca="1">(E119/160)*10</f>
        <v>9.3125</v>
      </c>
      <c r="G119" s="16">
        <f ca="1">RANDBETWEEN(5,10)</f>
        <v>8</v>
      </c>
      <c r="H119" s="21">
        <f ca="1">G119/E119*100</f>
        <v>5.3691275167785237</v>
      </c>
      <c r="I119" s="23">
        <f ca="1" xml:space="preserve"> (H119*0.5) + (F119*0.3) + (G119*0.2)</f>
        <v>7.0783137583892621</v>
      </c>
      <c r="J119" s="9" t="str">
        <f ca="1">IF(I119&gt;=8,"Excellent",IF(I119&gt;=6,"Good","Needs Improvement"))</f>
        <v>Good</v>
      </c>
      <c r="K119" s="16">
        <f ca="1">IF(I119&gt;=8,9000,IF(I119&gt;=6,6000,4000))</f>
        <v>6000</v>
      </c>
    </row>
    <row r="120" spans="1:11">
      <c r="A120" s="2" t="s">
        <v>124</v>
      </c>
      <c r="B120" s="13" t="s">
        <v>4</v>
      </c>
      <c r="C120" s="13" t="s">
        <v>235</v>
      </c>
      <c r="D120" s="15">
        <v>45994</v>
      </c>
      <c r="E120" s="16">
        <f ca="1">RANDBETWEEN(100,160)</f>
        <v>125</v>
      </c>
      <c r="F120" s="20">
        <f ca="1">(E120/160)*10</f>
        <v>7.8125</v>
      </c>
      <c r="G120" s="16">
        <f ca="1">RANDBETWEEN(5,10)</f>
        <v>8</v>
      </c>
      <c r="H120" s="21">
        <f ca="1">G120/E120*100</f>
        <v>6.4</v>
      </c>
      <c r="I120" s="23">
        <f ca="1" xml:space="preserve"> (H120*0.5) + (F120*0.3) + (G120*0.2)</f>
        <v>7.1437500000000007</v>
      </c>
      <c r="J120" s="9" t="str">
        <f ca="1">IF(I120&gt;=8,"Excellent",IF(I120&gt;=6,"Good","Needs Improvement"))</f>
        <v>Good</v>
      </c>
      <c r="K120" s="16">
        <f ca="1">IF(I120&gt;=8,9000,IF(I120&gt;=6,6000,4000))</f>
        <v>6000</v>
      </c>
    </row>
    <row r="121" spans="1:11">
      <c r="A121" s="2" t="s">
        <v>146</v>
      </c>
      <c r="B121" s="13" t="s">
        <v>1</v>
      </c>
      <c r="C121" s="13" t="s">
        <v>226</v>
      </c>
      <c r="D121" s="15">
        <v>45883</v>
      </c>
      <c r="E121" s="16">
        <f ca="1">RANDBETWEEN(100,160)</f>
        <v>141</v>
      </c>
      <c r="F121" s="20">
        <f ca="1">(E121/160)*10</f>
        <v>8.8125</v>
      </c>
      <c r="G121" s="16">
        <f ca="1">RANDBETWEEN(5,10)</f>
        <v>10</v>
      </c>
      <c r="H121" s="21">
        <f ca="1">G121/E121*100</f>
        <v>7.0921985815602842</v>
      </c>
      <c r="I121" s="23">
        <f ca="1" xml:space="preserve"> (H121*0.5) + (F121*0.3) + (G121*0.2)</f>
        <v>8.1898492907801419</v>
      </c>
      <c r="J121" s="9" t="str">
        <f ca="1">IF(I121&gt;=8,"Excellent",IF(I121&gt;=6,"Good","Needs Improvement"))</f>
        <v>Excellent</v>
      </c>
      <c r="K121" s="16">
        <f ca="1">IF(I121&gt;=8,9000,IF(I121&gt;=6,6000,4000))</f>
        <v>9000</v>
      </c>
    </row>
    <row r="122" spans="1:11">
      <c r="A122" s="2" t="s">
        <v>65</v>
      </c>
      <c r="B122" s="13" t="s">
        <v>1</v>
      </c>
      <c r="C122" s="13" t="s">
        <v>224</v>
      </c>
      <c r="D122" s="15">
        <v>44762</v>
      </c>
      <c r="E122" s="16">
        <f ca="1">RANDBETWEEN(100,160)</f>
        <v>128</v>
      </c>
      <c r="F122" s="20">
        <f ca="1">(E122/160)*10</f>
        <v>8</v>
      </c>
      <c r="G122" s="16">
        <f ca="1">RANDBETWEEN(5,10)</f>
        <v>6</v>
      </c>
      <c r="H122" s="21">
        <f ca="1">G122/E122*100</f>
        <v>4.6875</v>
      </c>
      <c r="I122" s="23">
        <f ca="1" xml:space="preserve"> (H122*0.5) + (F122*0.3) + (G122*0.2)</f>
        <v>5.9437500000000005</v>
      </c>
      <c r="J122" s="9" t="str">
        <f ca="1">IF(I122&gt;=8,"Excellent",IF(I122&gt;=6,"Good","Needs Improvement"))</f>
        <v>Needs Improvement</v>
      </c>
      <c r="K122" s="16">
        <f ca="1">IF(I122&gt;=8,9000,IF(I122&gt;=6,6000,4000))</f>
        <v>4000</v>
      </c>
    </row>
    <row r="123" spans="1:11">
      <c r="A123" s="2" t="s">
        <v>16</v>
      </c>
      <c r="B123" s="13" t="s">
        <v>1</v>
      </c>
      <c r="C123" s="13" t="s">
        <v>225</v>
      </c>
      <c r="D123" s="15">
        <v>45518</v>
      </c>
      <c r="E123" s="16">
        <f ca="1">RANDBETWEEN(100,160)</f>
        <v>137</v>
      </c>
      <c r="F123" s="20">
        <f ca="1">(E123/160)*10</f>
        <v>8.5625</v>
      </c>
      <c r="G123" s="16">
        <f ca="1">RANDBETWEEN(5,10)</f>
        <v>6</v>
      </c>
      <c r="H123" s="21">
        <f ca="1">G123/E123*100</f>
        <v>4.3795620437956204</v>
      </c>
      <c r="I123" s="23">
        <f ca="1" xml:space="preserve"> (H123*0.5) + (F123*0.3) + (G123*0.2)</f>
        <v>5.9585310218978105</v>
      </c>
      <c r="J123" s="9" t="str">
        <f ca="1">IF(I123&gt;=8,"Excellent",IF(I123&gt;=6,"Good","Needs Improvement"))</f>
        <v>Needs Improvement</v>
      </c>
      <c r="K123" s="16">
        <f ca="1">IF(I123&gt;=8,9000,IF(I123&gt;=6,6000,4000))</f>
        <v>4000</v>
      </c>
    </row>
    <row r="124" spans="1:11">
      <c r="A124" s="2" t="s">
        <v>27</v>
      </c>
      <c r="B124" s="13" t="s">
        <v>2</v>
      </c>
      <c r="C124" s="13" t="s">
        <v>229</v>
      </c>
      <c r="D124" s="15">
        <v>46035</v>
      </c>
      <c r="E124" s="16">
        <f ca="1">RANDBETWEEN(100,160)</f>
        <v>132</v>
      </c>
      <c r="F124" s="20">
        <f ca="1">(E124/160)*10</f>
        <v>8.25</v>
      </c>
      <c r="G124" s="16">
        <f ca="1">RANDBETWEEN(5,10)</f>
        <v>5</v>
      </c>
      <c r="H124" s="21">
        <f ca="1">G124/E124*100</f>
        <v>3.7878787878787881</v>
      </c>
      <c r="I124" s="23">
        <f ca="1" xml:space="preserve"> (H124*0.5) + (F124*0.3) + (G124*0.2)</f>
        <v>5.3689393939393941</v>
      </c>
      <c r="J124" s="9" t="str">
        <f ca="1">IF(I124&gt;=8,"Excellent",IF(I124&gt;=6,"Good","Needs Improvement"))</f>
        <v>Needs Improvement</v>
      </c>
      <c r="K124" s="16">
        <f ca="1">IF(I124&gt;=8,9000,IF(I124&gt;=6,6000,4000))</f>
        <v>4000</v>
      </c>
    </row>
    <row r="125" spans="1:11">
      <c r="A125" s="2" t="s">
        <v>12</v>
      </c>
      <c r="B125" s="13" t="s">
        <v>220</v>
      </c>
      <c r="C125" s="13" t="s">
        <v>222</v>
      </c>
      <c r="D125" s="15">
        <v>45237</v>
      </c>
      <c r="E125" s="16">
        <f ca="1">RANDBETWEEN(100,160)</f>
        <v>129</v>
      </c>
      <c r="F125" s="20">
        <f ca="1">(E125/160)*10</f>
        <v>8.0625</v>
      </c>
      <c r="G125" s="16">
        <f ca="1">RANDBETWEEN(5,10)</f>
        <v>8</v>
      </c>
      <c r="H125" s="21">
        <f ca="1">G125/E125*100</f>
        <v>6.2015503875968996</v>
      </c>
      <c r="I125" s="23">
        <f ca="1" xml:space="preserve"> (H125*0.5) + (F125*0.3) + (G125*0.2)</f>
        <v>7.1195251937984487</v>
      </c>
      <c r="J125" s="9" t="str">
        <f ca="1">IF(I125&gt;=8,"Excellent",IF(I125&gt;=6,"Good","Needs Improvement"))</f>
        <v>Good</v>
      </c>
      <c r="K125" s="16">
        <f ca="1">IF(I125&gt;=8,9000,IF(I125&gt;=6,6000,4000))</f>
        <v>6000</v>
      </c>
    </row>
    <row r="126" spans="1:11">
      <c r="A126" s="2" t="s">
        <v>125</v>
      </c>
      <c r="B126" s="13" t="s">
        <v>4</v>
      </c>
      <c r="C126" s="13" t="s">
        <v>236</v>
      </c>
      <c r="D126" s="15">
        <v>46008</v>
      </c>
      <c r="E126" s="16">
        <f ca="1">RANDBETWEEN(100,160)</f>
        <v>119</v>
      </c>
      <c r="F126" s="20">
        <f ca="1">(E126/160)*10</f>
        <v>7.4375</v>
      </c>
      <c r="G126" s="16">
        <f ca="1">RANDBETWEEN(5,10)</f>
        <v>7</v>
      </c>
      <c r="H126" s="21">
        <f ca="1">G126/E126*100</f>
        <v>5.8823529411764701</v>
      </c>
      <c r="I126" s="23">
        <f ca="1" xml:space="preserve"> (H126*0.5) + (F126*0.3) + (G126*0.2)</f>
        <v>6.5724264705882351</v>
      </c>
      <c r="J126" s="9" t="str">
        <f ca="1">IF(I126&gt;=8,"Excellent",IF(I126&gt;=6,"Good","Needs Improvement"))</f>
        <v>Good</v>
      </c>
      <c r="K126" s="16">
        <f ca="1">IF(I126&gt;=8,9000,IF(I126&gt;=6,6000,4000))</f>
        <v>6000</v>
      </c>
    </row>
    <row r="127" spans="1:11">
      <c r="A127" s="2" t="s">
        <v>164</v>
      </c>
      <c r="B127" s="13" t="s">
        <v>3</v>
      </c>
      <c r="C127" s="13" t="s">
        <v>232</v>
      </c>
      <c r="D127" s="15">
        <v>44735</v>
      </c>
      <c r="E127" s="16">
        <f ca="1">RANDBETWEEN(100,160)</f>
        <v>148</v>
      </c>
      <c r="F127" s="20">
        <f ca="1">(E127/160)*10</f>
        <v>9.25</v>
      </c>
      <c r="G127" s="16">
        <f ca="1">RANDBETWEEN(5,10)</f>
        <v>6</v>
      </c>
      <c r="H127" s="21">
        <f ca="1">G127/E127*100</f>
        <v>4.0540540540540544</v>
      </c>
      <c r="I127" s="23">
        <f ca="1" xml:space="preserve"> (H127*0.5) + (F127*0.3) + (G127*0.2)</f>
        <v>6.0020270270270268</v>
      </c>
      <c r="J127" s="9" t="str">
        <f ca="1">IF(I127&gt;=8,"Excellent",IF(I127&gt;=6,"Good","Needs Improvement"))</f>
        <v>Good</v>
      </c>
      <c r="K127" s="16">
        <f ca="1">IF(I127&gt;=8,9000,IF(I127&gt;=6,6000,4000))</f>
        <v>6000</v>
      </c>
    </row>
    <row r="128" spans="1:11">
      <c r="A128" s="2" t="s">
        <v>97</v>
      </c>
      <c r="B128" s="13" t="s">
        <v>4</v>
      </c>
      <c r="C128" s="13" t="s">
        <v>236</v>
      </c>
      <c r="D128" s="15">
        <v>45686</v>
      </c>
      <c r="E128" s="16">
        <f ca="1">RANDBETWEEN(100,160)</f>
        <v>154</v>
      </c>
      <c r="F128" s="20">
        <f ca="1">(E128/160)*10</f>
        <v>9.625</v>
      </c>
      <c r="G128" s="16">
        <f ca="1">RANDBETWEEN(5,10)</f>
        <v>6</v>
      </c>
      <c r="H128" s="21">
        <f ca="1">G128/E128*100</f>
        <v>3.8961038961038961</v>
      </c>
      <c r="I128" s="23">
        <f ca="1" xml:space="preserve"> (H128*0.5) + (F128*0.3) + (G128*0.2)</f>
        <v>6.0355519480519479</v>
      </c>
      <c r="J128" s="9" t="str">
        <f ca="1">IF(I128&gt;=8,"Excellent",IF(I128&gt;=6,"Good","Needs Improvement"))</f>
        <v>Good</v>
      </c>
      <c r="K128" s="16">
        <f ca="1">IF(I128&gt;=8,9000,IF(I128&gt;=6,6000,4000))</f>
        <v>6000</v>
      </c>
    </row>
    <row r="129" spans="1:11">
      <c r="A129" s="2" t="s">
        <v>54</v>
      </c>
      <c r="B129" s="13" t="s">
        <v>4</v>
      </c>
      <c r="C129" s="13" t="s">
        <v>238</v>
      </c>
      <c r="D129" s="15">
        <v>46111</v>
      </c>
      <c r="E129" s="16">
        <f ca="1">RANDBETWEEN(100,160)</f>
        <v>150</v>
      </c>
      <c r="F129" s="20">
        <f ca="1">(E129/160)*10</f>
        <v>9.375</v>
      </c>
      <c r="G129" s="16">
        <f ca="1">RANDBETWEEN(5,10)</f>
        <v>10</v>
      </c>
      <c r="H129" s="21">
        <f ca="1">G129/E129*100</f>
        <v>6.666666666666667</v>
      </c>
      <c r="I129" s="23">
        <f ca="1" xml:space="preserve"> (H129*0.5) + (F129*0.3) + (G129*0.2)</f>
        <v>8.1458333333333339</v>
      </c>
      <c r="J129" s="9" t="str">
        <f ca="1">IF(I129&gt;=8,"Excellent",IF(I129&gt;=6,"Good","Needs Improvement"))</f>
        <v>Excellent</v>
      </c>
      <c r="K129" s="16">
        <f ca="1">IF(I129&gt;=8,9000,IF(I129&gt;=6,6000,4000))</f>
        <v>9000</v>
      </c>
    </row>
    <row r="130" spans="1:11">
      <c r="A130" s="2" t="s">
        <v>56</v>
      </c>
      <c r="B130" s="13" t="s">
        <v>220</v>
      </c>
      <c r="C130" s="13" t="s">
        <v>222</v>
      </c>
      <c r="D130" s="15">
        <v>44634</v>
      </c>
      <c r="E130" s="16">
        <f ca="1">RANDBETWEEN(100,160)</f>
        <v>159</v>
      </c>
      <c r="F130" s="20">
        <f ca="1">(E130/160)*10</f>
        <v>9.9375</v>
      </c>
      <c r="G130" s="16">
        <f ca="1">RANDBETWEEN(5,10)</f>
        <v>6</v>
      </c>
      <c r="H130" s="21">
        <f ca="1">G130/E130*100</f>
        <v>3.7735849056603774</v>
      </c>
      <c r="I130" s="23">
        <f ca="1" xml:space="preserve"> (H130*0.5) + (F130*0.3) + (G130*0.2)</f>
        <v>6.0680424528301886</v>
      </c>
      <c r="J130" s="9" t="str">
        <f ca="1">IF(I130&gt;=8,"Excellent",IF(I130&gt;=6,"Good","Needs Improvement"))</f>
        <v>Good</v>
      </c>
      <c r="K130" s="16">
        <f ca="1">IF(I130&gt;=8,9000,IF(I130&gt;=6,6000,4000))</f>
        <v>6000</v>
      </c>
    </row>
    <row r="131" spans="1:11">
      <c r="A131" s="2" t="s">
        <v>175</v>
      </c>
      <c r="B131" s="13" t="s">
        <v>4</v>
      </c>
      <c r="C131" s="13" t="s">
        <v>236</v>
      </c>
      <c r="D131" s="15">
        <v>44862</v>
      </c>
      <c r="E131" s="16">
        <f ca="1">RANDBETWEEN(100,160)</f>
        <v>126</v>
      </c>
      <c r="F131" s="20">
        <f ca="1">(E131/160)*10</f>
        <v>7.875</v>
      </c>
      <c r="G131" s="16">
        <f ca="1">RANDBETWEEN(5,10)</f>
        <v>10</v>
      </c>
      <c r="H131" s="21">
        <f ca="1">G131/E131*100</f>
        <v>7.9365079365079358</v>
      </c>
      <c r="I131" s="23">
        <f ca="1" xml:space="preserve"> (H131*0.5) + (F131*0.3) + (G131*0.2)</f>
        <v>8.3307539682539673</v>
      </c>
      <c r="J131" s="9" t="str">
        <f ca="1">IF(I131&gt;=8,"Excellent",IF(I131&gt;=6,"Good","Needs Improvement"))</f>
        <v>Excellent</v>
      </c>
      <c r="K131" s="16">
        <f ca="1">IF(I131&gt;=8,9000,IF(I131&gt;=6,6000,4000))</f>
        <v>9000</v>
      </c>
    </row>
    <row r="132" spans="1:11">
      <c r="A132" s="2" t="s">
        <v>77</v>
      </c>
      <c r="B132" s="13" t="s">
        <v>2</v>
      </c>
      <c r="C132" s="13" t="s">
        <v>229</v>
      </c>
      <c r="D132" s="15">
        <v>44957</v>
      </c>
      <c r="E132" s="16">
        <f ca="1">RANDBETWEEN(100,160)</f>
        <v>145</v>
      </c>
      <c r="F132" s="20">
        <f ca="1">(E132/160)*10</f>
        <v>9.0625</v>
      </c>
      <c r="G132" s="16">
        <f ca="1">RANDBETWEEN(5,10)</f>
        <v>7</v>
      </c>
      <c r="H132" s="21">
        <f ca="1">G132/E132*100</f>
        <v>4.8275862068965516</v>
      </c>
      <c r="I132" s="23">
        <f ca="1" xml:space="preserve"> (H132*0.5) + (F132*0.3) + (G132*0.2)</f>
        <v>6.5325431034482762</v>
      </c>
      <c r="J132" s="9" t="str">
        <f ca="1">IF(I132&gt;=8,"Excellent",IF(I132&gt;=6,"Good","Needs Improvement"))</f>
        <v>Good</v>
      </c>
      <c r="K132" s="16">
        <f ca="1">IF(I132&gt;=8,9000,IF(I132&gt;=6,6000,4000))</f>
        <v>6000</v>
      </c>
    </row>
    <row r="133" spans="1:11">
      <c r="A133" s="2" t="s">
        <v>178</v>
      </c>
      <c r="B133" s="13" t="s">
        <v>1</v>
      </c>
      <c r="C133" s="13" t="s">
        <v>226</v>
      </c>
      <c r="D133" s="15">
        <v>44999</v>
      </c>
      <c r="E133" s="16">
        <f ca="1">RANDBETWEEN(100,160)</f>
        <v>131</v>
      </c>
      <c r="F133" s="20">
        <f ca="1">(E133/160)*10</f>
        <v>8.1875</v>
      </c>
      <c r="G133" s="16">
        <f ca="1">RANDBETWEEN(5,10)</f>
        <v>6</v>
      </c>
      <c r="H133" s="21">
        <f ca="1">G133/E133*100</f>
        <v>4.5801526717557248</v>
      </c>
      <c r="I133" s="23">
        <f ca="1" xml:space="preserve"> (H133*0.5) + (F133*0.3) + (G133*0.2)</f>
        <v>5.9463263358778624</v>
      </c>
      <c r="J133" s="9" t="str">
        <f ca="1">IF(I133&gt;=8,"Excellent",IF(I133&gt;=6,"Good","Needs Improvement"))</f>
        <v>Needs Improvement</v>
      </c>
      <c r="K133" s="16">
        <f ca="1">IF(I133&gt;=8,9000,IF(I133&gt;=6,6000,4000))</f>
        <v>4000</v>
      </c>
    </row>
    <row r="134" spans="1:11">
      <c r="A134" s="2" t="s">
        <v>181</v>
      </c>
      <c r="B134" s="13" t="s">
        <v>2</v>
      </c>
      <c r="C134" s="13" t="s">
        <v>228</v>
      </c>
      <c r="D134" s="15">
        <v>45364</v>
      </c>
      <c r="E134" s="16">
        <f ca="1">RANDBETWEEN(100,160)</f>
        <v>154</v>
      </c>
      <c r="F134" s="20">
        <f ca="1">(E134/160)*10</f>
        <v>9.625</v>
      </c>
      <c r="G134" s="16">
        <f ca="1">RANDBETWEEN(5,10)</f>
        <v>10</v>
      </c>
      <c r="H134" s="21">
        <f ca="1">G134/E134*100</f>
        <v>6.4935064935064926</v>
      </c>
      <c r="I134" s="23">
        <f ca="1" xml:space="preserve"> (H134*0.5) + (F134*0.3) + (G134*0.2)</f>
        <v>8.1342532467532465</v>
      </c>
      <c r="J134" s="9" t="str">
        <f ca="1">IF(I134&gt;=8,"Excellent",IF(I134&gt;=6,"Good","Needs Improvement"))</f>
        <v>Excellent</v>
      </c>
      <c r="K134" s="16">
        <f ca="1">IF(I134&gt;=8,9000,IF(I134&gt;=6,6000,4000))</f>
        <v>9000</v>
      </c>
    </row>
    <row r="135" spans="1:11">
      <c r="A135" s="2" t="s">
        <v>69</v>
      </c>
      <c r="B135" s="13" t="s">
        <v>1</v>
      </c>
      <c r="C135" s="13" t="s">
        <v>225</v>
      </c>
      <c r="D135" s="15">
        <v>44818</v>
      </c>
      <c r="E135" s="16">
        <f ca="1">RANDBETWEEN(100,160)</f>
        <v>119</v>
      </c>
      <c r="F135" s="20">
        <f ca="1">(E135/160)*10</f>
        <v>7.4375</v>
      </c>
      <c r="G135" s="16">
        <f ca="1">RANDBETWEEN(5,10)</f>
        <v>6</v>
      </c>
      <c r="H135" s="21">
        <f ca="1">G135/E135*100</f>
        <v>5.0420168067226889</v>
      </c>
      <c r="I135" s="23">
        <f ca="1" xml:space="preserve"> (H135*0.5) + (F135*0.3) + (G135*0.2)</f>
        <v>5.9522584033613439</v>
      </c>
      <c r="J135" s="9" t="str">
        <f ca="1">IF(I135&gt;=8,"Excellent",IF(I135&gt;=6,"Good","Needs Improvement"))</f>
        <v>Needs Improvement</v>
      </c>
      <c r="K135" s="16">
        <f ca="1">IF(I135&gt;=8,9000,IF(I135&gt;=6,6000,4000))</f>
        <v>4000</v>
      </c>
    </row>
    <row r="136" spans="1:11">
      <c r="A136" s="2" t="s">
        <v>33</v>
      </c>
      <c r="B136" s="13" t="s">
        <v>2</v>
      </c>
      <c r="C136" s="13" t="s">
        <v>229</v>
      </c>
      <c r="D136" s="15">
        <v>45414</v>
      </c>
      <c r="E136" s="16">
        <f ca="1">RANDBETWEEN(100,160)</f>
        <v>122</v>
      </c>
      <c r="F136" s="20">
        <f ca="1">(E136/160)*10</f>
        <v>7.625</v>
      </c>
      <c r="G136" s="16">
        <f ca="1">RANDBETWEEN(5,10)</f>
        <v>7</v>
      </c>
      <c r="H136" s="21">
        <f ca="1">G136/E136*100</f>
        <v>5.7377049180327866</v>
      </c>
      <c r="I136" s="23">
        <f ca="1" xml:space="preserve"> (H136*0.5) + (F136*0.3) + (G136*0.2)</f>
        <v>6.5563524590163933</v>
      </c>
      <c r="J136" s="9" t="str">
        <f ca="1">IF(I136&gt;=8,"Excellent",IF(I136&gt;=6,"Good","Needs Improvement"))</f>
        <v>Good</v>
      </c>
      <c r="K136" s="16">
        <f ca="1">IF(I136&gt;=8,9000,IF(I136&gt;=6,6000,4000))</f>
        <v>6000</v>
      </c>
    </row>
    <row r="137" spans="1:11">
      <c r="A137" s="2" t="s">
        <v>87</v>
      </c>
      <c r="B137" s="13" t="s">
        <v>3</v>
      </c>
      <c r="C137" s="13" t="s">
        <v>232</v>
      </c>
      <c r="D137" s="15">
        <v>45443</v>
      </c>
      <c r="E137" s="16">
        <f ca="1">RANDBETWEEN(100,160)</f>
        <v>115</v>
      </c>
      <c r="F137" s="20">
        <f ca="1">(E137/160)*10</f>
        <v>7.1875</v>
      </c>
      <c r="G137" s="16">
        <f ca="1">RANDBETWEEN(5,10)</f>
        <v>10</v>
      </c>
      <c r="H137" s="21">
        <f ca="1">G137/E137*100</f>
        <v>8.695652173913043</v>
      </c>
      <c r="I137" s="23">
        <f ca="1" xml:space="preserve"> (H137*0.5) + (F137*0.3) + (G137*0.2)</f>
        <v>8.5040760869565215</v>
      </c>
      <c r="J137" s="9" t="str">
        <f ca="1">IF(I137&gt;=8,"Excellent",IF(I137&gt;=6,"Good","Needs Improvement"))</f>
        <v>Excellent</v>
      </c>
      <c r="K137" s="16">
        <f ca="1">IF(I137&gt;=8,9000,IF(I137&gt;=6,6000,4000))</f>
        <v>9000</v>
      </c>
    </row>
    <row r="138" spans="1:11">
      <c r="A138" s="2" t="s">
        <v>187</v>
      </c>
      <c r="B138" s="13" t="s">
        <v>2</v>
      </c>
      <c r="C138" s="13" t="s">
        <v>228</v>
      </c>
      <c r="D138" s="15">
        <v>45443</v>
      </c>
      <c r="E138" s="16">
        <f ca="1">RANDBETWEEN(100,160)</f>
        <v>146</v>
      </c>
      <c r="F138" s="20">
        <f ca="1">(E138/160)*10</f>
        <v>9.125</v>
      </c>
      <c r="G138" s="16">
        <f ca="1">RANDBETWEEN(5,10)</f>
        <v>8</v>
      </c>
      <c r="H138" s="21">
        <f ca="1">G138/E138*100</f>
        <v>5.4794520547945202</v>
      </c>
      <c r="I138" s="23">
        <f ca="1" xml:space="preserve"> (H138*0.5) + (F138*0.3) + (G138*0.2)</f>
        <v>7.0772260273972591</v>
      </c>
      <c r="J138" s="9" t="str">
        <f ca="1">IF(I138&gt;=8,"Excellent",IF(I138&gt;=6,"Good","Needs Improvement"))</f>
        <v>Good</v>
      </c>
      <c r="K138" s="16">
        <f ca="1">IF(I138&gt;=8,9000,IF(I138&gt;=6,6000,4000))</f>
        <v>6000</v>
      </c>
    </row>
    <row r="139" spans="1:11">
      <c r="A139" s="2" t="s">
        <v>5</v>
      </c>
      <c r="B139" s="13" t="s">
        <v>220</v>
      </c>
      <c r="C139" s="13" t="s">
        <v>221</v>
      </c>
      <c r="D139" s="15">
        <v>45042</v>
      </c>
      <c r="E139" s="16">
        <f ca="1">RANDBETWEEN(100,160)</f>
        <v>107</v>
      </c>
      <c r="F139" s="20">
        <f ca="1">(E139/160)*10</f>
        <v>6.6875</v>
      </c>
      <c r="G139" s="16">
        <f ca="1">RANDBETWEEN(5,10)</f>
        <v>8</v>
      </c>
      <c r="H139" s="21">
        <f ca="1">G139/E139*100</f>
        <v>7.4766355140186906</v>
      </c>
      <c r="I139" s="23">
        <f ca="1" xml:space="preserve"> (H139*0.5) + (F139*0.3) + (G139*0.2)</f>
        <v>7.3445677570093455</v>
      </c>
      <c r="J139" s="9" t="str">
        <f ca="1">IF(I139&gt;=8,"Excellent",IF(I139&gt;=6,"Good","Needs Improvement"))</f>
        <v>Good</v>
      </c>
      <c r="K139" s="16">
        <f ca="1">IF(I139&gt;=8,9000,IF(I139&gt;=6,6000,4000))</f>
        <v>6000</v>
      </c>
    </row>
    <row r="140" spans="1:11">
      <c r="A140" s="2" t="s">
        <v>32</v>
      </c>
      <c r="B140" s="13" t="s">
        <v>2</v>
      </c>
      <c r="C140" s="13" t="s">
        <v>228</v>
      </c>
      <c r="D140" s="15">
        <v>45404</v>
      </c>
      <c r="E140" s="16">
        <f ca="1">RANDBETWEEN(100,160)</f>
        <v>115</v>
      </c>
      <c r="F140" s="20">
        <f ca="1">(E140/160)*10</f>
        <v>7.1875</v>
      </c>
      <c r="G140" s="16">
        <f ca="1">RANDBETWEEN(5,10)</f>
        <v>5</v>
      </c>
      <c r="H140" s="21">
        <f ca="1">G140/E140*100</f>
        <v>4.3478260869565215</v>
      </c>
      <c r="I140" s="23">
        <f ca="1" xml:space="preserve"> (H140*0.5) + (F140*0.3) + (G140*0.2)</f>
        <v>5.3301630434782608</v>
      </c>
      <c r="J140" s="9" t="str">
        <f ca="1">IF(I140&gt;=8,"Excellent",IF(I140&gt;=6,"Good","Needs Improvement"))</f>
        <v>Needs Improvement</v>
      </c>
      <c r="K140" s="16">
        <f ca="1">IF(I140&gt;=8,9000,IF(I140&gt;=6,6000,4000))</f>
        <v>4000</v>
      </c>
    </row>
    <row r="141" spans="1:11">
      <c r="A141" s="2" t="s">
        <v>205</v>
      </c>
      <c r="B141" s="13" t="s">
        <v>4</v>
      </c>
      <c r="C141" s="13" t="s">
        <v>234</v>
      </c>
      <c r="D141" s="15">
        <v>44683</v>
      </c>
      <c r="E141" s="16">
        <f ca="1">RANDBETWEEN(100,160)</f>
        <v>125</v>
      </c>
      <c r="F141" s="20">
        <f ca="1">(E141/160)*10</f>
        <v>7.8125</v>
      </c>
      <c r="G141" s="16">
        <f ca="1">RANDBETWEEN(5,10)</f>
        <v>10</v>
      </c>
      <c r="H141" s="21">
        <f ca="1">G141/E141*100</f>
        <v>8</v>
      </c>
      <c r="I141" s="23">
        <f ca="1" xml:space="preserve"> (H141*0.5) + (F141*0.3) + (G141*0.2)</f>
        <v>8.34375</v>
      </c>
      <c r="J141" s="9" t="str">
        <f ca="1">IF(I141&gt;=8,"Excellent",IF(I141&gt;=6,"Good","Needs Improvement"))</f>
        <v>Excellent</v>
      </c>
      <c r="K141" s="16">
        <f ca="1">IF(I141&gt;=8,9000,IF(I141&gt;=6,6000,4000))</f>
        <v>9000</v>
      </c>
    </row>
    <row r="142" spans="1:11">
      <c r="A142" s="2" t="s">
        <v>94</v>
      </c>
      <c r="B142" s="13" t="s">
        <v>3</v>
      </c>
      <c r="C142" s="13" t="s">
        <v>231</v>
      </c>
      <c r="D142" s="15">
        <v>45593</v>
      </c>
      <c r="E142" s="16">
        <f ca="1">RANDBETWEEN(100,160)</f>
        <v>132</v>
      </c>
      <c r="F142" s="20">
        <f ca="1">(E142/160)*10</f>
        <v>8.25</v>
      </c>
      <c r="G142" s="16">
        <f ca="1">RANDBETWEEN(5,10)</f>
        <v>6</v>
      </c>
      <c r="H142" s="21">
        <f ca="1">G142/E142*100</f>
        <v>4.5454545454545459</v>
      </c>
      <c r="I142" s="23">
        <f ca="1" xml:space="preserve"> (H142*0.5) + (F142*0.3) + (G142*0.2)</f>
        <v>5.9477272727272732</v>
      </c>
      <c r="J142" s="9" t="str">
        <f ca="1">IF(I142&gt;=8,"Excellent",IF(I142&gt;=6,"Good","Needs Improvement"))</f>
        <v>Needs Improvement</v>
      </c>
      <c r="K142" s="16">
        <f ca="1">IF(I142&gt;=8,9000,IF(I142&gt;=6,6000,4000))</f>
        <v>4000</v>
      </c>
    </row>
    <row r="143" spans="1:11">
      <c r="A143" s="2" t="s">
        <v>50</v>
      </c>
      <c r="B143" s="13" t="s">
        <v>4</v>
      </c>
      <c r="C143" s="13" t="s">
        <v>234</v>
      </c>
      <c r="D143" s="15">
        <v>46037</v>
      </c>
      <c r="E143" s="16">
        <f ca="1">RANDBETWEEN(100,160)</f>
        <v>151</v>
      </c>
      <c r="F143" s="20">
        <f ca="1">(E143/160)*10</f>
        <v>9.4375</v>
      </c>
      <c r="G143" s="16">
        <f ca="1">RANDBETWEEN(5,10)</f>
        <v>8</v>
      </c>
      <c r="H143" s="21">
        <f ca="1">G143/E143*100</f>
        <v>5.298013245033113</v>
      </c>
      <c r="I143" s="23">
        <f ca="1" xml:space="preserve"> (H143*0.5) + (F143*0.3) + (G143*0.2)</f>
        <v>7.080256622516556</v>
      </c>
      <c r="J143" s="9" t="str">
        <f ca="1">IF(I143&gt;=8,"Excellent",IF(I143&gt;=6,"Good","Needs Improvement"))</f>
        <v>Good</v>
      </c>
      <c r="K143" s="16">
        <f ca="1">IF(I143&gt;=8,9000,IF(I143&gt;=6,6000,4000))</f>
        <v>6000</v>
      </c>
    </row>
    <row r="144" spans="1:11">
      <c r="A144" s="2" t="s">
        <v>102</v>
      </c>
      <c r="B144" s="13" t="s">
        <v>4</v>
      </c>
      <c r="C144" s="13" t="s">
        <v>236</v>
      </c>
      <c r="D144" s="15">
        <v>45736</v>
      </c>
      <c r="E144" s="16">
        <f ca="1">RANDBETWEEN(100,160)</f>
        <v>132</v>
      </c>
      <c r="F144" s="20">
        <f ca="1">(E144/160)*10</f>
        <v>8.25</v>
      </c>
      <c r="G144" s="16">
        <f ca="1">RANDBETWEEN(5,10)</f>
        <v>10</v>
      </c>
      <c r="H144" s="21">
        <f ca="1">G144/E144*100</f>
        <v>7.5757575757575761</v>
      </c>
      <c r="I144" s="23">
        <f ca="1" xml:space="preserve"> (H144*0.5) + (F144*0.3) + (G144*0.2)</f>
        <v>8.2628787878787886</v>
      </c>
      <c r="J144" s="9" t="str">
        <f ca="1">IF(I144&gt;=8,"Excellent",IF(I144&gt;=6,"Good","Needs Improvement"))</f>
        <v>Excellent</v>
      </c>
      <c r="K144" s="16">
        <f ca="1">IF(I144&gt;=8,9000,IF(I144&gt;=6,6000,4000))</f>
        <v>9000</v>
      </c>
    </row>
    <row r="145" spans="1:11">
      <c r="A145" s="2" t="s">
        <v>107</v>
      </c>
      <c r="B145" s="13" t="s">
        <v>2</v>
      </c>
      <c r="C145" s="13" t="s">
        <v>227</v>
      </c>
      <c r="D145" s="15">
        <v>45050</v>
      </c>
      <c r="E145" s="16">
        <f ca="1">RANDBETWEEN(100,160)</f>
        <v>149</v>
      </c>
      <c r="F145" s="20">
        <f ca="1">(E145/160)*10</f>
        <v>9.3125</v>
      </c>
      <c r="G145" s="16">
        <f ca="1">RANDBETWEEN(5,10)</f>
        <v>8</v>
      </c>
      <c r="H145" s="21">
        <f ca="1">G145/E145*100</f>
        <v>5.3691275167785237</v>
      </c>
      <c r="I145" s="23">
        <f ca="1" xml:space="preserve"> (H145*0.5) + (F145*0.3) + (G145*0.2)</f>
        <v>7.0783137583892621</v>
      </c>
      <c r="J145" s="9" t="str">
        <f ca="1">IF(I145&gt;=8,"Excellent",IF(I145&gt;=6,"Good","Needs Improvement"))</f>
        <v>Good</v>
      </c>
      <c r="K145" s="16">
        <f ca="1">IF(I145&gt;=8,9000,IF(I145&gt;=6,6000,4000))</f>
        <v>6000</v>
      </c>
    </row>
    <row r="146" spans="1:11">
      <c r="A146" s="2" t="s">
        <v>84</v>
      </c>
      <c r="B146" s="13" t="s">
        <v>2</v>
      </c>
      <c r="C146" s="13" t="s">
        <v>227</v>
      </c>
      <c r="D146" s="15">
        <v>45401</v>
      </c>
      <c r="E146" s="16">
        <f ca="1">RANDBETWEEN(100,160)</f>
        <v>159</v>
      </c>
      <c r="F146" s="20">
        <f ca="1">(E146/160)*10</f>
        <v>9.9375</v>
      </c>
      <c r="G146" s="16">
        <f ca="1">RANDBETWEEN(5,10)</f>
        <v>9</v>
      </c>
      <c r="H146" s="21">
        <f ca="1">G146/E146*100</f>
        <v>5.6603773584905666</v>
      </c>
      <c r="I146" s="23">
        <f ca="1" xml:space="preserve"> (H146*0.5) + (F146*0.3) + (G146*0.2)</f>
        <v>7.6114386792452828</v>
      </c>
      <c r="J146" s="9" t="str">
        <f ca="1">IF(I146&gt;=8,"Excellent",IF(I146&gt;=6,"Good","Needs Improvement"))</f>
        <v>Good</v>
      </c>
      <c r="K146" s="16">
        <f ca="1">IF(I146&gt;=8,9000,IF(I146&gt;=6,6000,4000))</f>
        <v>6000</v>
      </c>
    </row>
    <row r="147" spans="1:11">
      <c r="A147" s="2" t="s">
        <v>20</v>
      </c>
      <c r="B147" s="13" t="s">
        <v>1</v>
      </c>
      <c r="C147" s="13" t="s">
        <v>226</v>
      </c>
      <c r="D147" s="15">
        <v>45607</v>
      </c>
      <c r="E147" s="16">
        <f ca="1">RANDBETWEEN(100,160)</f>
        <v>142</v>
      </c>
      <c r="F147" s="20">
        <f ca="1">(E147/160)*10</f>
        <v>8.875</v>
      </c>
      <c r="G147" s="16">
        <f ca="1">RANDBETWEEN(5,10)</f>
        <v>7</v>
      </c>
      <c r="H147" s="21">
        <f ca="1">G147/E147*100</f>
        <v>4.929577464788732</v>
      </c>
      <c r="I147" s="23">
        <f ca="1" xml:space="preserve"> (H147*0.5) + (F147*0.3) + (G147*0.2)</f>
        <v>6.527288732394366</v>
      </c>
      <c r="J147" s="9" t="str">
        <f ca="1">IF(I147&gt;=8,"Excellent",IF(I147&gt;=6,"Good","Needs Improvement"))</f>
        <v>Good</v>
      </c>
      <c r="K147" s="16">
        <f ca="1">IF(I147&gt;=8,9000,IF(I147&gt;=6,6000,4000))</f>
        <v>6000</v>
      </c>
    </row>
    <row r="148" spans="1:11">
      <c r="A148" s="2" t="s">
        <v>133</v>
      </c>
      <c r="B148" s="13" t="s">
        <v>220</v>
      </c>
      <c r="C148" s="13" t="s">
        <v>223</v>
      </c>
      <c r="D148" s="15">
        <v>45414</v>
      </c>
      <c r="E148" s="16">
        <f ca="1">RANDBETWEEN(100,160)</f>
        <v>105</v>
      </c>
      <c r="F148" s="20">
        <f ca="1">(E148/160)*10</f>
        <v>6.5625</v>
      </c>
      <c r="G148" s="16">
        <f ca="1">RANDBETWEEN(5,10)</f>
        <v>9</v>
      </c>
      <c r="H148" s="21">
        <f ca="1">G148/E148*100</f>
        <v>8.5714285714285712</v>
      </c>
      <c r="I148" s="23">
        <f ca="1" xml:space="preserve"> (H148*0.5) + (F148*0.3) + (G148*0.2)</f>
        <v>8.0544642857142854</v>
      </c>
      <c r="J148" s="9" t="str">
        <f ca="1">IF(I148&gt;=8,"Excellent",IF(I148&gt;=6,"Good","Needs Improvement"))</f>
        <v>Excellent</v>
      </c>
      <c r="K148" s="16">
        <f ca="1">IF(I148&gt;=8,9000,IF(I148&gt;=6,6000,4000))</f>
        <v>9000</v>
      </c>
    </row>
    <row r="149" spans="1:11">
      <c r="A149" s="2" t="s">
        <v>26</v>
      </c>
      <c r="B149" s="13" t="s">
        <v>2</v>
      </c>
      <c r="C149" s="13" t="s">
        <v>228</v>
      </c>
      <c r="D149" s="15">
        <v>46031</v>
      </c>
      <c r="E149" s="16">
        <f ca="1">RANDBETWEEN(100,160)</f>
        <v>132</v>
      </c>
      <c r="F149" s="20">
        <f ca="1">(E149/160)*10</f>
        <v>8.25</v>
      </c>
      <c r="G149" s="16">
        <f ca="1">RANDBETWEEN(5,10)</f>
        <v>5</v>
      </c>
      <c r="H149" s="21">
        <f ca="1">G149/E149*100</f>
        <v>3.7878787878787881</v>
      </c>
      <c r="I149" s="23">
        <f ca="1" xml:space="preserve"> (H149*0.5) + (F149*0.3) + (G149*0.2)</f>
        <v>5.3689393939393941</v>
      </c>
      <c r="J149" s="9" t="str">
        <f ca="1">IF(I149&gt;=8,"Excellent",IF(I149&gt;=6,"Good","Needs Improvement"))</f>
        <v>Needs Improvement</v>
      </c>
      <c r="K149" s="16">
        <f ca="1">IF(I149&gt;=8,9000,IF(I149&gt;=6,6000,4000))</f>
        <v>4000</v>
      </c>
    </row>
    <row r="150" spans="1:11">
      <c r="A150" s="2" t="s">
        <v>190</v>
      </c>
      <c r="B150" s="13" t="s">
        <v>3</v>
      </c>
      <c r="C150" s="13" t="s">
        <v>230</v>
      </c>
      <c r="D150" s="15">
        <v>45503</v>
      </c>
      <c r="E150" s="16">
        <f ca="1">RANDBETWEEN(100,160)</f>
        <v>153</v>
      </c>
      <c r="F150" s="20">
        <f ca="1">(E150/160)*10</f>
        <v>9.5625</v>
      </c>
      <c r="G150" s="16">
        <f ca="1">RANDBETWEEN(5,10)</f>
        <v>7</v>
      </c>
      <c r="H150" s="21">
        <f ca="1">G150/E150*100</f>
        <v>4.5751633986928102</v>
      </c>
      <c r="I150" s="23">
        <f ca="1" xml:space="preserve"> (H150*0.5) + (F150*0.3) + (G150*0.2)</f>
        <v>6.5563316993464049</v>
      </c>
      <c r="J150" s="9" t="str">
        <f ca="1">IF(I150&gt;=8,"Excellent",IF(I150&gt;=6,"Good","Needs Improvement"))</f>
        <v>Good</v>
      </c>
      <c r="K150" s="16">
        <f ca="1">IF(I150&gt;=8,9000,IF(I150&gt;=6,6000,4000))</f>
        <v>6000</v>
      </c>
    </row>
    <row r="151" spans="1:11">
      <c r="A151" s="2" t="s">
        <v>40</v>
      </c>
      <c r="B151" s="13" t="s">
        <v>3</v>
      </c>
      <c r="C151" s="13" t="s">
        <v>231</v>
      </c>
      <c r="D151" s="15">
        <v>45722</v>
      </c>
      <c r="E151" s="16">
        <f ca="1">RANDBETWEEN(100,160)</f>
        <v>129</v>
      </c>
      <c r="F151" s="20">
        <f ca="1">(E151/160)*10</f>
        <v>8.0625</v>
      </c>
      <c r="G151" s="16">
        <f ca="1">RANDBETWEEN(5,10)</f>
        <v>6</v>
      </c>
      <c r="H151" s="21">
        <f ca="1">G151/E151*100</f>
        <v>4.6511627906976747</v>
      </c>
      <c r="I151" s="23">
        <f ca="1" xml:space="preserve"> (H151*0.5) + (F151*0.3) + (G151*0.2)</f>
        <v>5.9443313953488373</v>
      </c>
      <c r="J151" s="9" t="str">
        <f ca="1">IF(I151&gt;=8,"Excellent",IF(I151&gt;=6,"Good","Needs Improvement"))</f>
        <v>Needs Improvement</v>
      </c>
      <c r="K151" s="16">
        <f ca="1">IF(I151&gt;=8,9000,IF(I151&gt;=6,6000,4000))</f>
        <v>4000</v>
      </c>
    </row>
    <row r="152" spans="1:11">
      <c r="A152" s="2" t="s">
        <v>169</v>
      </c>
      <c r="B152" s="13" t="s">
        <v>4</v>
      </c>
      <c r="C152" s="13" t="s">
        <v>235</v>
      </c>
      <c r="D152" s="15">
        <v>44818</v>
      </c>
      <c r="E152" s="16">
        <f ca="1">RANDBETWEEN(100,160)</f>
        <v>140</v>
      </c>
      <c r="F152" s="20">
        <f ca="1">(E152/160)*10</f>
        <v>8.75</v>
      </c>
      <c r="G152" s="16">
        <f ca="1">RANDBETWEEN(5,10)</f>
        <v>5</v>
      </c>
      <c r="H152" s="21">
        <f ca="1">G152/E152*100</f>
        <v>3.5714285714285712</v>
      </c>
      <c r="I152" s="23">
        <f ca="1" xml:space="preserve"> (H152*0.5) + (F152*0.3) + (G152*0.2)</f>
        <v>5.4107142857142856</v>
      </c>
      <c r="J152" s="9" t="str">
        <f ca="1">IF(I152&gt;=8,"Excellent",IF(I152&gt;=6,"Good","Needs Improvement"))</f>
        <v>Needs Improvement</v>
      </c>
      <c r="K152" s="16">
        <f ca="1">IF(I152&gt;=8,9000,IF(I152&gt;=6,6000,4000))</f>
        <v>4000</v>
      </c>
    </row>
    <row r="153" spans="1:11">
      <c r="A153" s="2" t="s">
        <v>21</v>
      </c>
      <c r="B153" s="13" t="s">
        <v>1</v>
      </c>
      <c r="C153" s="13" t="s">
        <v>224</v>
      </c>
      <c r="D153" s="15">
        <v>45715</v>
      </c>
      <c r="E153" s="16">
        <f ca="1">RANDBETWEEN(100,160)</f>
        <v>157</v>
      </c>
      <c r="F153" s="20">
        <f ca="1">(E153/160)*10</f>
        <v>9.8125</v>
      </c>
      <c r="G153" s="16">
        <f ca="1">RANDBETWEEN(5,10)</f>
        <v>10</v>
      </c>
      <c r="H153" s="21">
        <f ca="1">G153/E153*100</f>
        <v>6.369426751592357</v>
      </c>
      <c r="I153" s="23">
        <f ca="1" xml:space="preserve"> (H153*0.5) + (F153*0.3) + (G153*0.2)</f>
        <v>8.1284633757961782</v>
      </c>
      <c r="J153" s="9" t="str">
        <f ca="1">IF(I153&gt;=8,"Excellent",IF(I153&gt;=6,"Good","Needs Improvement"))</f>
        <v>Excellent</v>
      </c>
      <c r="K153" s="16">
        <f ca="1">IF(I153&gt;=8,9000,IF(I153&gt;=6,6000,4000))</f>
        <v>9000</v>
      </c>
    </row>
    <row r="154" spans="1:11">
      <c r="A154" s="2" t="s">
        <v>76</v>
      </c>
      <c r="B154" s="13" t="s">
        <v>2</v>
      </c>
      <c r="C154" s="13" t="s">
        <v>228</v>
      </c>
      <c r="D154" s="15">
        <v>44936</v>
      </c>
      <c r="E154" s="16">
        <f ca="1">RANDBETWEEN(100,160)</f>
        <v>125</v>
      </c>
      <c r="F154" s="20">
        <f ca="1">(E154/160)*10</f>
        <v>7.8125</v>
      </c>
      <c r="G154" s="16">
        <f ca="1">RANDBETWEEN(5,10)</f>
        <v>10</v>
      </c>
      <c r="H154" s="21">
        <f ca="1">G154/E154*100</f>
        <v>8</v>
      </c>
      <c r="I154" s="23">
        <f ca="1" xml:space="preserve"> (H154*0.5) + (F154*0.3) + (G154*0.2)</f>
        <v>8.34375</v>
      </c>
      <c r="J154" s="9" t="str">
        <f ca="1">IF(I154&gt;=8,"Excellent",IF(I154&gt;=6,"Good","Needs Improvement"))</f>
        <v>Excellent</v>
      </c>
      <c r="K154" s="16">
        <f ca="1">IF(I154&gt;=8,9000,IF(I154&gt;=6,6000,4000))</f>
        <v>9000</v>
      </c>
    </row>
    <row r="155" spans="1:11">
      <c r="A155" s="2" t="s">
        <v>11</v>
      </c>
      <c r="B155" s="13" t="s">
        <v>220</v>
      </c>
      <c r="C155" s="13" t="s">
        <v>221</v>
      </c>
      <c r="D155" s="15">
        <v>45223</v>
      </c>
      <c r="E155" s="16">
        <f ca="1">RANDBETWEEN(100,160)</f>
        <v>158</v>
      </c>
      <c r="F155" s="20">
        <f ca="1">(E155/160)*10</f>
        <v>9.875</v>
      </c>
      <c r="G155" s="16">
        <f ca="1">RANDBETWEEN(5,10)</f>
        <v>10</v>
      </c>
      <c r="H155" s="21">
        <f ca="1">G155/E155*100</f>
        <v>6.3291139240506329</v>
      </c>
      <c r="I155" s="23">
        <f ca="1" xml:space="preserve"> (H155*0.5) + (F155*0.3) + (G155*0.2)</f>
        <v>8.1270569620253159</v>
      </c>
      <c r="J155" s="9" t="str">
        <f ca="1">IF(I155&gt;=8,"Excellent",IF(I155&gt;=6,"Good","Needs Improvement"))</f>
        <v>Excellent</v>
      </c>
      <c r="K155" s="16">
        <f ca="1">IF(I155&gt;=8,9000,IF(I155&gt;=6,6000,4000))</f>
        <v>9000</v>
      </c>
    </row>
    <row r="156" spans="1:11">
      <c r="A156" s="2" t="s">
        <v>179</v>
      </c>
      <c r="B156" s="13" t="s">
        <v>1</v>
      </c>
      <c r="C156" s="13" t="s">
        <v>224</v>
      </c>
      <c r="D156" s="15">
        <v>45007</v>
      </c>
      <c r="E156" s="16">
        <f ca="1">RANDBETWEEN(100,160)</f>
        <v>156</v>
      </c>
      <c r="F156" s="20">
        <f ca="1">(E156/160)*10</f>
        <v>9.75</v>
      </c>
      <c r="G156" s="16">
        <f ca="1">RANDBETWEEN(5,10)</f>
        <v>6</v>
      </c>
      <c r="H156" s="21">
        <f ca="1">G156/E156*100</f>
        <v>3.8461538461538463</v>
      </c>
      <c r="I156" s="23">
        <f ca="1" xml:space="preserve"> (H156*0.5) + (F156*0.3) + (G156*0.2)</f>
        <v>6.0480769230769234</v>
      </c>
      <c r="J156" s="9" t="str">
        <f ca="1">IF(I156&gt;=8,"Excellent",IF(I156&gt;=6,"Good","Needs Improvement"))</f>
        <v>Good</v>
      </c>
      <c r="K156" s="16">
        <f ca="1">IF(I156&gt;=8,9000,IF(I156&gt;=6,6000,4000))</f>
        <v>6000</v>
      </c>
    </row>
    <row r="157" spans="1:11">
      <c r="A157" s="2" t="s">
        <v>111</v>
      </c>
      <c r="B157" s="13" t="s">
        <v>3</v>
      </c>
      <c r="C157" s="13" t="s">
        <v>233</v>
      </c>
      <c r="D157" s="15">
        <v>45223</v>
      </c>
      <c r="E157" s="16">
        <f ca="1">RANDBETWEEN(100,160)</f>
        <v>134</v>
      </c>
      <c r="F157" s="20">
        <f ca="1">(E157/160)*10</f>
        <v>8.375</v>
      </c>
      <c r="G157" s="16">
        <f ca="1">RANDBETWEEN(5,10)</f>
        <v>6</v>
      </c>
      <c r="H157" s="21">
        <f ca="1">G157/E157*100</f>
        <v>4.4776119402985071</v>
      </c>
      <c r="I157" s="23">
        <f ca="1" xml:space="preserve"> (H157*0.5) + (F157*0.3) + (G157*0.2)</f>
        <v>5.9513059701492539</v>
      </c>
      <c r="J157" s="9" t="str">
        <f ca="1">IF(I157&gt;=8,"Excellent",IF(I157&gt;=6,"Good","Needs Improvement"))</f>
        <v>Needs Improvement</v>
      </c>
      <c r="K157" s="16">
        <f ca="1">IF(I157&gt;=8,9000,IF(I157&gt;=6,6000,4000))</f>
        <v>4000</v>
      </c>
    </row>
    <row r="158" spans="1:11">
      <c r="A158" s="2" t="s">
        <v>61</v>
      </c>
      <c r="B158" s="13" t="s">
        <v>220</v>
      </c>
      <c r="C158" s="13" t="s">
        <v>221</v>
      </c>
      <c r="D158" s="15">
        <v>44683</v>
      </c>
      <c r="E158" s="16">
        <f ca="1">RANDBETWEEN(100,160)</f>
        <v>138</v>
      </c>
      <c r="F158" s="20">
        <f ca="1">(E158/160)*10</f>
        <v>8.625</v>
      </c>
      <c r="G158" s="16">
        <f ca="1">RANDBETWEEN(5,10)</f>
        <v>9</v>
      </c>
      <c r="H158" s="21">
        <f ca="1">G158/E158*100</f>
        <v>6.5217391304347823</v>
      </c>
      <c r="I158" s="23">
        <f ca="1" xml:space="preserve"> (H158*0.5) + (F158*0.3) + (G158*0.2)</f>
        <v>7.6483695652173909</v>
      </c>
      <c r="J158" s="9" t="str">
        <f ca="1">IF(I158&gt;=8,"Excellent",IF(I158&gt;=6,"Good","Needs Improvement"))</f>
        <v>Good</v>
      </c>
      <c r="K158" s="16">
        <f ca="1">IF(I158&gt;=8,9000,IF(I158&gt;=6,6000,4000))</f>
        <v>6000</v>
      </c>
    </row>
    <row r="159" spans="1:11">
      <c r="A159" s="2" t="s">
        <v>206</v>
      </c>
      <c r="B159" s="13" t="s">
        <v>4</v>
      </c>
      <c r="C159" s="13" t="s">
        <v>235</v>
      </c>
      <c r="D159" s="15">
        <v>44690</v>
      </c>
      <c r="E159" s="16">
        <f ca="1">RANDBETWEEN(100,160)</f>
        <v>156</v>
      </c>
      <c r="F159" s="20">
        <f ca="1">(E159/160)*10</f>
        <v>9.75</v>
      </c>
      <c r="G159" s="16">
        <f ca="1">RANDBETWEEN(5,10)</f>
        <v>6</v>
      </c>
      <c r="H159" s="21">
        <f ca="1">G159/E159*100</f>
        <v>3.8461538461538463</v>
      </c>
      <c r="I159" s="23">
        <f ca="1" xml:space="preserve"> (H159*0.5) + (F159*0.3) + (G159*0.2)</f>
        <v>6.0480769230769234</v>
      </c>
      <c r="J159" s="9" t="str">
        <f ca="1">IF(I159&gt;=8,"Excellent",IF(I159&gt;=6,"Good","Needs Improvement"))</f>
        <v>Good</v>
      </c>
      <c r="K159" s="16">
        <f ca="1">IF(I159&gt;=8,9000,IF(I159&gt;=6,6000,4000))</f>
        <v>6000</v>
      </c>
    </row>
    <row r="160" spans="1:11">
      <c r="A160" s="2" t="s">
        <v>29</v>
      </c>
      <c r="B160" s="13" t="s">
        <v>2</v>
      </c>
      <c r="C160" s="13" t="s">
        <v>228</v>
      </c>
      <c r="D160" s="15">
        <v>46059</v>
      </c>
      <c r="E160" s="16">
        <f ca="1">RANDBETWEEN(100,160)</f>
        <v>110</v>
      </c>
      <c r="F160" s="20">
        <f ca="1">(E160/160)*10</f>
        <v>6.875</v>
      </c>
      <c r="G160" s="16">
        <f ca="1">RANDBETWEEN(5,10)</f>
        <v>6</v>
      </c>
      <c r="H160" s="21">
        <f ca="1">G160/E160*100</f>
        <v>5.4545454545454541</v>
      </c>
      <c r="I160" s="23">
        <f ca="1" xml:space="preserve"> (H160*0.5) + (F160*0.3) + (G160*0.2)</f>
        <v>5.9897727272727268</v>
      </c>
      <c r="J160" s="9" t="str">
        <f ca="1">IF(I160&gt;=8,"Excellent",IF(I160&gt;=6,"Good","Needs Improvement"))</f>
        <v>Needs Improvement</v>
      </c>
      <c r="K160" s="16">
        <f ca="1">IF(I160&gt;=8,9000,IF(I160&gt;=6,6000,4000))</f>
        <v>4000</v>
      </c>
    </row>
    <row r="161" spans="1:11">
      <c r="A161" s="2" t="s">
        <v>115</v>
      </c>
      <c r="B161" s="13" t="s">
        <v>3</v>
      </c>
      <c r="C161" s="13" t="s">
        <v>233</v>
      </c>
      <c r="D161" s="15">
        <v>45433</v>
      </c>
      <c r="E161" s="16">
        <f ca="1">RANDBETWEEN(100,160)</f>
        <v>114</v>
      </c>
      <c r="F161" s="20">
        <f ca="1">(E161/160)*10</f>
        <v>7.125</v>
      </c>
      <c r="G161" s="16">
        <f ca="1">RANDBETWEEN(5,10)</f>
        <v>10</v>
      </c>
      <c r="H161" s="21">
        <f ca="1">G161/E161*100</f>
        <v>8.7719298245614024</v>
      </c>
      <c r="I161" s="23">
        <f ca="1" xml:space="preserve"> (H161*0.5) + (F161*0.3) + (G161*0.2)</f>
        <v>8.5234649122807014</v>
      </c>
      <c r="J161" s="9" t="str">
        <f ca="1">IF(I161&gt;=8,"Excellent",IF(I161&gt;=6,"Good","Needs Improvement"))</f>
        <v>Excellent</v>
      </c>
      <c r="K161" s="16">
        <f ca="1">IF(I161&gt;=8,9000,IF(I161&gt;=6,6000,4000))</f>
        <v>9000</v>
      </c>
    </row>
    <row r="162" spans="1:11">
      <c r="A162" s="2" t="s">
        <v>53</v>
      </c>
      <c r="B162" s="13" t="s">
        <v>4</v>
      </c>
      <c r="C162" s="13" t="s">
        <v>237</v>
      </c>
      <c r="D162" s="15">
        <v>46101</v>
      </c>
      <c r="E162" s="16">
        <f ca="1">RANDBETWEEN(100,160)</f>
        <v>142</v>
      </c>
      <c r="F162" s="20">
        <f ca="1">(E162/160)*10</f>
        <v>8.875</v>
      </c>
      <c r="G162" s="16">
        <f ca="1">RANDBETWEEN(5,10)</f>
        <v>9</v>
      </c>
      <c r="H162" s="21">
        <f ca="1">G162/E162*100</f>
        <v>6.3380281690140841</v>
      </c>
      <c r="I162" s="23">
        <f ca="1" xml:space="preserve"> (H162*0.5) + (F162*0.3) + (G162*0.2)</f>
        <v>7.6315140845070415</v>
      </c>
      <c r="J162" s="9" t="str">
        <f ca="1">IF(I162&gt;=8,"Excellent",IF(I162&gt;=6,"Good","Needs Improvement"))</f>
        <v>Good</v>
      </c>
      <c r="K162" s="16">
        <f ca="1">IF(I162&gt;=8,9000,IF(I162&gt;=6,6000,4000))</f>
        <v>6000</v>
      </c>
    </row>
    <row r="163" spans="1:11">
      <c r="A163" s="2" t="s">
        <v>182</v>
      </c>
      <c r="B163" s="13" t="s">
        <v>2</v>
      </c>
      <c r="C163" s="13" t="s">
        <v>229</v>
      </c>
      <c r="D163" s="15">
        <v>45369</v>
      </c>
      <c r="E163" s="16">
        <f ca="1">RANDBETWEEN(100,160)</f>
        <v>144</v>
      </c>
      <c r="F163" s="20">
        <f ca="1">(E163/160)*10</f>
        <v>9</v>
      </c>
      <c r="G163" s="16">
        <f ca="1">RANDBETWEEN(5,10)</f>
        <v>5</v>
      </c>
      <c r="H163" s="21">
        <f ca="1">G163/E163*100</f>
        <v>3.4722222222222223</v>
      </c>
      <c r="I163" s="23">
        <f ca="1" xml:space="preserve"> (H163*0.5) + (F163*0.3) + (G163*0.2)</f>
        <v>5.4361111111111109</v>
      </c>
      <c r="J163" s="9" t="str">
        <f ca="1">IF(I163&gt;=8,"Excellent",IF(I163&gt;=6,"Good","Needs Improvement"))</f>
        <v>Needs Improvement</v>
      </c>
      <c r="K163" s="16">
        <f ca="1">IF(I163&gt;=8,9000,IF(I163&gt;=6,6000,4000))</f>
        <v>4000</v>
      </c>
    </row>
    <row r="164" spans="1:11">
      <c r="A164" s="2" t="s">
        <v>13</v>
      </c>
      <c r="B164" s="13" t="s">
        <v>220</v>
      </c>
      <c r="C164" s="13" t="s">
        <v>223</v>
      </c>
      <c r="D164" s="15">
        <v>45289</v>
      </c>
      <c r="E164" s="16">
        <f ca="1">RANDBETWEEN(100,160)</f>
        <v>117</v>
      </c>
      <c r="F164" s="20">
        <f ca="1">(E164/160)*10</f>
        <v>7.3125</v>
      </c>
      <c r="G164" s="16">
        <f ca="1">RANDBETWEEN(5,10)</f>
        <v>10</v>
      </c>
      <c r="H164" s="21">
        <f ca="1">G164/E164*100</f>
        <v>8.5470085470085468</v>
      </c>
      <c r="I164" s="23">
        <f ca="1" xml:space="preserve"> (H164*0.5) + (F164*0.3) + (G164*0.2)</f>
        <v>8.467254273504274</v>
      </c>
      <c r="J164" s="9" t="str">
        <f ca="1">IF(I164&gt;=8,"Excellent",IF(I164&gt;=6,"Good","Needs Improvement"))</f>
        <v>Excellent</v>
      </c>
      <c r="K164" s="16">
        <f ca="1">IF(I164&gt;=8,9000,IF(I164&gt;=6,6000,4000))</f>
        <v>9000</v>
      </c>
    </row>
    <row r="165" spans="1:11">
      <c r="A165" s="2" t="s">
        <v>163</v>
      </c>
      <c r="B165" s="13" t="s">
        <v>3</v>
      </c>
      <c r="C165" s="13" t="s">
        <v>231</v>
      </c>
      <c r="D165" s="15">
        <v>44711</v>
      </c>
      <c r="E165" s="16">
        <f ca="1">RANDBETWEEN(100,160)</f>
        <v>158</v>
      </c>
      <c r="F165" s="20">
        <f ca="1">(E165/160)*10</f>
        <v>9.875</v>
      </c>
      <c r="G165" s="16">
        <f ca="1">RANDBETWEEN(5,10)</f>
        <v>9</v>
      </c>
      <c r="H165" s="21">
        <f ca="1">G165/E165*100</f>
        <v>5.6962025316455698</v>
      </c>
      <c r="I165" s="23">
        <f ca="1" xml:space="preserve"> (H165*0.5) + (F165*0.3) + (G165*0.2)</f>
        <v>7.6106012658227842</v>
      </c>
      <c r="J165" s="9" t="str">
        <f ca="1">IF(I165&gt;=8,"Excellent",IF(I165&gt;=6,"Good","Needs Improvement"))</f>
        <v>Good</v>
      </c>
      <c r="K165" s="16">
        <f ca="1">IF(I165&gt;=8,9000,IF(I165&gt;=6,6000,4000))</f>
        <v>6000</v>
      </c>
    </row>
    <row r="166" spans="1:11">
      <c r="A166" s="2" t="s">
        <v>105</v>
      </c>
      <c r="B166" s="13" t="s">
        <v>2</v>
      </c>
      <c r="C166" s="13" t="s">
        <v>228</v>
      </c>
      <c r="D166" s="15">
        <v>45042</v>
      </c>
      <c r="E166" s="16">
        <f ca="1">RANDBETWEEN(100,160)</f>
        <v>125</v>
      </c>
      <c r="F166" s="20">
        <f ca="1">(E166/160)*10</f>
        <v>7.8125</v>
      </c>
      <c r="G166" s="16">
        <f ca="1">RANDBETWEEN(5,10)</f>
        <v>5</v>
      </c>
      <c r="H166" s="21">
        <f ca="1">G166/E166*100</f>
        <v>4</v>
      </c>
      <c r="I166" s="23">
        <f ca="1" xml:space="preserve"> (H166*0.5) + (F166*0.3) + (G166*0.2)</f>
        <v>5.34375</v>
      </c>
      <c r="J166" s="9" t="str">
        <f ca="1">IF(I166&gt;=8,"Excellent",IF(I166&gt;=6,"Good","Needs Improvement"))</f>
        <v>Needs Improvement</v>
      </c>
      <c r="K166" s="16">
        <f ca="1">IF(I166&gt;=8,9000,IF(I166&gt;=6,6000,4000))</f>
        <v>4000</v>
      </c>
    </row>
    <row r="167" spans="1:11">
      <c r="A167" s="2" t="s">
        <v>212</v>
      </c>
      <c r="B167" s="13" t="s">
        <v>220</v>
      </c>
      <c r="C167" s="13" t="s">
        <v>223</v>
      </c>
      <c r="D167" s="15">
        <v>44812</v>
      </c>
      <c r="E167" s="16">
        <f ca="1">RANDBETWEEN(100,160)</f>
        <v>154</v>
      </c>
      <c r="F167" s="20">
        <f ca="1">(E167/160)*10</f>
        <v>9.625</v>
      </c>
      <c r="G167" s="16">
        <f ca="1">RANDBETWEEN(5,10)</f>
        <v>8</v>
      </c>
      <c r="H167" s="21">
        <f ca="1">G167/E167*100</f>
        <v>5.1948051948051948</v>
      </c>
      <c r="I167" s="23">
        <f ca="1" xml:space="preserve"> (H167*0.5) + (F167*0.3) + (G167*0.2)</f>
        <v>7.0849025974025963</v>
      </c>
      <c r="J167" s="9" t="str">
        <f ca="1">IF(I167&gt;=8,"Excellent",IF(I167&gt;=6,"Good","Needs Improvement"))</f>
        <v>Good</v>
      </c>
      <c r="K167" s="16">
        <f ca="1">IF(I167&gt;=8,9000,IF(I167&gt;=6,6000,4000))</f>
        <v>6000</v>
      </c>
    </row>
    <row r="168" spans="1:11">
      <c r="A168" s="2" t="s">
        <v>155</v>
      </c>
      <c r="B168" s="13" t="s">
        <v>2</v>
      </c>
      <c r="C168" s="13" t="s">
        <v>228</v>
      </c>
      <c r="D168" s="15">
        <v>44629</v>
      </c>
      <c r="E168" s="16">
        <f ca="1">RANDBETWEEN(100,160)</f>
        <v>149</v>
      </c>
      <c r="F168" s="20">
        <f ca="1">(E168/160)*10</f>
        <v>9.3125</v>
      </c>
      <c r="G168" s="16">
        <f ca="1">RANDBETWEEN(5,10)</f>
        <v>8</v>
      </c>
      <c r="H168" s="21">
        <f ca="1">G168/E168*100</f>
        <v>5.3691275167785237</v>
      </c>
      <c r="I168" s="23">
        <f ca="1" xml:space="preserve"> (H168*0.5) + (F168*0.3) + (G168*0.2)</f>
        <v>7.0783137583892621</v>
      </c>
      <c r="J168" s="9" t="str">
        <f ca="1">IF(I168&gt;=8,"Excellent",IF(I168&gt;=6,"Good","Needs Improvement"))</f>
        <v>Good</v>
      </c>
      <c r="K168" s="16">
        <f ca="1">IF(I168&gt;=8,9000,IF(I168&gt;=6,6000,4000))</f>
        <v>6000</v>
      </c>
    </row>
    <row r="169" spans="1:11">
      <c r="A169" s="2" t="s">
        <v>213</v>
      </c>
      <c r="B169" s="13" t="s">
        <v>220</v>
      </c>
      <c r="C169" s="13" t="s">
        <v>221</v>
      </c>
      <c r="D169" s="15">
        <v>44818</v>
      </c>
      <c r="E169" s="16">
        <f ca="1">RANDBETWEEN(100,160)</f>
        <v>154</v>
      </c>
      <c r="F169" s="20">
        <f ca="1">(E169/160)*10</f>
        <v>9.625</v>
      </c>
      <c r="G169" s="16">
        <f ca="1">RANDBETWEEN(5,10)</f>
        <v>9</v>
      </c>
      <c r="H169" s="21">
        <f ca="1">G169/E169*100</f>
        <v>5.8441558441558437</v>
      </c>
      <c r="I169" s="23">
        <f ca="1" xml:space="preserve"> (H169*0.5) + (F169*0.3) + (G169*0.2)</f>
        <v>7.6095779220779214</v>
      </c>
      <c r="J169" s="9" t="str">
        <f ca="1">IF(I169&gt;=8,"Excellent",IF(I169&gt;=6,"Good","Needs Improvement"))</f>
        <v>Good</v>
      </c>
      <c r="K169" s="16">
        <f ca="1">IF(I169&gt;=8,9000,IF(I169&gt;=6,6000,4000))</f>
        <v>6000</v>
      </c>
    </row>
    <row r="170" spans="1:11">
      <c r="A170" s="2" t="s">
        <v>31</v>
      </c>
      <c r="B170" s="13" t="s">
        <v>2</v>
      </c>
      <c r="C170" s="13" t="s">
        <v>227</v>
      </c>
      <c r="D170" s="15">
        <v>45393</v>
      </c>
      <c r="E170" s="16">
        <f ca="1">RANDBETWEEN(100,160)</f>
        <v>100</v>
      </c>
      <c r="F170" s="20">
        <f ca="1">(E170/160)*10</f>
        <v>6.25</v>
      </c>
      <c r="G170" s="16">
        <f ca="1">RANDBETWEEN(5,10)</f>
        <v>6</v>
      </c>
      <c r="H170" s="21">
        <f ca="1">G170/E170*100</f>
        <v>6</v>
      </c>
      <c r="I170" s="23">
        <f ca="1" xml:space="preserve"> (H170*0.5) + (F170*0.3) + (G170*0.2)</f>
        <v>6.0750000000000002</v>
      </c>
      <c r="J170" s="9" t="str">
        <f ca="1">IF(I170&gt;=8,"Excellent",IF(I170&gt;=6,"Good","Needs Improvement"))</f>
        <v>Good</v>
      </c>
      <c r="K170" s="16">
        <f ca="1">IF(I170&gt;=8,9000,IF(I170&gt;=6,6000,4000))</f>
        <v>6000</v>
      </c>
    </row>
    <row r="171" spans="1:11">
      <c r="A171" s="2" t="s">
        <v>210</v>
      </c>
      <c r="B171" s="13" t="s">
        <v>220</v>
      </c>
      <c r="C171" s="13" t="s">
        <v>221</v>
      </c>
      <c r="D171" s="15">
        <v>44788</v>
      </c>
      <c r="E171" s="16">
        <f ca="1">RANDBETWEEN(100,160)</f>
        <v>152</v>
      </c>
      <c r="F171" s="20">
        <f ca="1">(E171/160)*10</f>
        <v>9.5</v>
      </c>
      <c r="G171" s="16">
        <f ca="1">RANDBETWEEN(5,10)</f>
        <v>10</v>
      </c>
      <c r="H171" s="21">
        <f ca="1">G171/E171*100</f>
        <v>6.5789473684210522</v>
      </c>
      <c r="I171" s="23">
        <f ca="1" xml:space="preserve"> (H171*0.5) + (F171*0.3) + (G171*0.2)</f>
        <v>8.1394736842105253</v>
      </c>
      <c r="J171" s="9" t="str">
        <f ca="1">IF(I171&gt;=8,"Excellent",IF(I171&gt;=6,"Good","Needs Improvement"))</f>
        <v>Excellent</v>
      </c>
      <c r="K171" s="16">
        <f ca="1">IF(I171&gt;=8,9000,IF(I171&gt;=6,6000,4000))</f>
        <v>9000</v>
      </c>
    </row>
    <row r="172" spans="1:11">
      <c r="A172" s="2" t="s">
        <v>184</v>
      </c>
      <c r="B172" s="13" t="s">
        <v>2</v>
      </c>
      <c r="C172" s="13" t="s">
        <v>228</v>
      </c>
      <c r="D172" s="15">
        <v>45401</v>
      </c>
      <c r="E172" s="16">
        <f ca="1">RANDBETWEEN(100,160)</f>
        <v>139</v>
      </c>
      <c r="F172" s="20">
        <f ca="1">(E172/160)*10</f>
        <v>8.6875</v>
      </c>
      <c r="G172" s="16">
        <f ca="1">RANDBETWEEN(5,10)</f>
        <v>7</v>
      </c>
      <c r="H172" s="21">
        <f ca="1">G172/E172*100</f>
        <v>5.0359712230215825</v>
      </c>
      <c r="I172" s="23">
        <f ca="1" xml:space="preserve"> (H172*0.5) + (F172*0.3) + (G172*0.2)</f>
        <v>6.5242356115107913</v>
      </c>
      <c r="J172" s="9" t="str">
        <f ca="1">IF(I172&gt;=8,"Excellent",IF(I172&gt;=6,"Good","Needs Improvement"))</f>
        <v>Good</v>
      </c>
      <c r="K172" s="16">
        <f ca="1">IF(I172&gt;=8,9000,IF(I172&gt;=6,6000,4000))</f>
        <v>6000</v>
      </c>
    </row>
    <row r="173" spans="1:11">
      <c r="A173" s="2" t="s">
        <v>167</v>
      </c>
      <c r="B173" s="13" t="s">
        <v>3</v>
      </c>
      <c r="C173" s="13" t="s">
        <v>231</v>
      </c>
      <c r="D173" s="15">
        <v>44790</v>
      </c>
      <c r="E173" s="16">
        <f ca="1">RANDBETWEEN(100,160)</f>
        <v>154</v>
      </c>
      <c r="F173" s="20">
        <f ca="1">(E173/160)*10</f>
        <v>9.625</v>
      </c>
      <c r="G173" s="16">
        <f ca="1">RANDBETWEEN(5,10)</f>
        <v>8</v>
      </c>
      <c r="H173" s="21">
        <f ca="1">G173/E173*100</f>
        <v>5.1948051948051948</v>
      </c>
      <c r="I173" s="23">
        <f ca="1" xml:space="preserve"> (H173*0.5) + (F173*0.3) + (G173*0.2)</f>
        <v>7.0849025974025963</v>
      </c>
      <c r="J173" s="9" t="str">
        <f ca="1">IF(I173&gt;=8,"Excellent",IF(I173&gt;=6,"Good","Needs Improvement"))</f>
        <v>Good</v>
      </c>
      <c r="K173" s="16">
        <f ca="1">IF(I173&gt;=8,9000,IF(I173&gt;=6,6000,4000))</f>
        <v>6000</v>
      </c>
    </row>
    <row r="174" spans="1:11">
      <c r="A174" s="2" t="s">
        <v>55</v>
      </c>
      <c r="B174" s="13" t="s">
        <v>220</v>
      </c>
      <c r="C174" s="13" t="s">
        <v>221</v>
      </c>
      <c r="D174" s="15">
        <v>44629</v>
      </c>
      <c r="E174" s="16">
        <f ca="1">RANDBETWEEN(100,160)</f>
        <v>106</v>
      </c>
      <c r="F174" s="20">
        <f ca="1">(E174/160)*10</f>
        <v>6.625</v>
      </c>
      <c r="G174" s="16">
        <f ca="1">RANDBETWEEN(5,10)</f>
        <v>7</v>
      </c>
      <c r="H174" s="21">
        <f ca="1">G174/E174*100</f>
        <v>6.6037735849056602</v>
      </c>
      <c r="I174" s="23">
        <f ca="1" xml:space="preserve"> (H174*0.5) + (F174*0.3) + (G174*0.2)</f>
        <v>6.6893867924528303</v>
      </c>
      <c r="J174" s="9" t="str">
        <f ca="1">IF(I174&gt;=8,"Excellent",IF(I174&gt;=6,"Good","Needs Improvement"))</f>
        <v>Good</v>
      </c>
      <c r="K174" s="16">
        <f ca="1">IF(I174&gt;=8,9000,IF(I174&gt;=6,6000,4000))</f>
        <v>6000</v>
      </c>
    </row>
    <row r="175" spans="1:11">
      <c r="A175" s="2" t="s">
        <v>47</v>
      </c>
      <c r="B175" s="13" t="s">
        <v>4</v>
      </c>
      <c r="C175" s="13" t="s">
        <v>236</v>
      </c>
      <c r="D175" s="15">
        <v>45895</v>
      </c>
      <c r="E175" s="16">
        <f ca="1">RANDBETWEEN(100,160)</f>
        <v>116</v>
      </c>
      <c r="F175" s="20">
        <f ca="1">(E175/160)*10</f>
        <v>7.25</v>
      </c>
      <c r="G175" s="16">
        <f ca="1">RANDBETWEEN(5,10)</f>
        <v>5</v>
      </c>
      <c r="H175" s="21">
        <f ca="1">G175/E175*100</f>
        <v>4.3103448275862073</v>
      </c>
      <c r="I175" s="23">
        <f ca="1" xml:space="preserve"> (H175*0.5) + (F175*0.3) + (G175*0.2)</f>
        <v>5.3301724137931039</v>
      </c>
      <c r="J175" s="9" t="str">
        <f ca="1">IF(I175&gt;=8,"Excellent",IF(I175&gt;=6,"Good","Needs Improvement"))</f>
        <v>Needs Improvement</v>
      </c>
      <c r="K175" s="16">
        <f ca="1">IF(I175&gt;=8,9000,IF(I175&gt;=6,6000,4000))</f>
        <v>4000</v>
      </c>
    </row>
    <row r="176" spans="1:11">
      <c r="A176" s="2" t="s">
        <v>116</v>
      </c>
      <c r="B176" s="13" t="s">
        <v>3</v>
      </c>
      <c r="C176" s="13" t="s">
        <v>230</v>
      </c>
      <c r="D176" s="15">
        <v>45518</v>
      </c>
      <c r="E176" s="16">
        <f ca="1">RANDBETWEEN(100,160)</f>
        <v>144</v>
      </c>
      <c r="F176" s="20">
        <f ca="1">(E176/160)*10</f>
        <v>9</v>
      </c>
      <c r="G176" s="16">
        <f ca="1">RANDBETWEEN(5,10)</f>
        <v>9</v>
      </c>
      <c r="H176" s="21">
        <f ca="1">G176/E176*100</f>
        <v>6.25</v>
      </c>
      <c r="I176" s="23">
        <f ca="1" xml:space="preserve"> (H176*0.5) + (F176*0.3) + (G176*0.2)</f>
        <v>7.6249999999999991</v>
      </c>
      <c r="J176" s="9" t="str">
        <f ca="1">IF(I176&gt;=8,"Excellent",IF(I176&gt;=6,"Good","Needs Improvement"))</f>
        <v>Good</v>
      </c>
      <c r="K176" s="16">
        <f ca="1">IF(I176&gt;=8,9000,IF(I176&gt;=6,6000,4000))</f>
        <v>6000</v>
      </c>
    </row>
    <row r="177" spans="1:11">
      <c r="A177" s="2" t="s">
        <v>92</v>
      </c>
      <c r="B177" s="13" t="s">
        <v>3</v>
      </c>
      <c r="C177" s="13" t="s">
        <v>233</v>
      </c>
      <c r="D177" s="15">
        <v>45575</v>
      </c>
      <c r="E177" s="16">
        <f ca="1">RANDBETWEEN(100,160)</f>
        <v>122</v>
      </c>
      <c r="F177" s="20">
        <f ca="1">(E177/160)*10</f>
        <v>7.625</v>
      </c>
      <c r="G177" s="16">
        <f ca="1">RANDBETWEEN(5,10)</f>
        <v>10</v>
      </c>
      <c r="H177" s="21">
        <f ca="1">G177/E177*100</f>
        <v>8.1967213114754092</v>
      </c>
      <c r="I177" s="23">
        <f ca="1" xml:space="preserve"> (H177*0.5) + (F177*0.3) + (G177*0.2)</f>
        <v>8.3858606557377051</v>
      </c>
      <c r="J177" s="9" t="str">
        <f ca="1">IF(I177&gt;=8,"Excellent",IF(I177&gt;=6,"Good","Needs Improvement"))</f>
        <v>Excellent</v>
      </c>
      <c r="K177" s="16">
        <f ca="1">IF(I177&gt;=8,9000,IF(I177&gt;=6,6000,4000))</f>
        <v>9000</v>
      </c>
    </row>
    <row r="178" spans="1:11">
      <c r="A178" s="2" t="s">
        <v>119</v>
      </c>
      <c r="B178" s="13" t="s">
        <v>4</v>
      </c>
      <c r="C178" s="13" t="s">
        <v>235</v>
      </c>
      <c r="D178" s="15">
        <v>45569</v>
      </c>
      <c r="E178" s="16">
        <f ca="1">RANDBETWEEN(100,160)</f>
        <v>133</v>
      </c>
      <c r="F178" s="20">
        <f ca="1">(E178/160)*10</f>
        <v>8.3125</v>
      </c>
      <c r="G178" s="16">
        <f ca="1">RANDBETWEEN(5,10)</f>
        <v>6</v>
      </c>
      <c r="H178" s="21">
        <f ca="1">G178/E178*100</f>
        <v>4.5112781954887211</v>
      </c>
      <c r="I178" s="23">
        <f ca="1" xml:space="preserve"> (H178*0.5) + (F178*0.3) + (G178*0.2)</f>
        <v>5.9493890977443611</v>
      </c>
      <c r="J178" s="9" t="str">
        <f ca="1">IF(I178&gt;=8,"Excellent",IF(I178&gt;=6,"Good","Needs Improvement"))</f>
        <v>Needs Improvement</v>
      </c>
      <c r="K178" s="16">
        <f ca="1">IF(I178&gt;=8,9000,IF(I178&gt;=6,6000,4000))</f>
        <v>4000</v>
      </c>
    </row>
    <row r="179" spans="1:11">
      <c r="A179" s="2" t="s">
        <v>131</v>
      </c>
      <c r="B179" s="13" t="s">
        <v>220</v>
      </c>
      <c r="C179" s="13" t="s">
        <v>221</v>
      </c>
      <c r="D179" s="15">
        <v>45393</v>
      </c>
      <c r="E179" s="16">
        <f ca="1">RANDBETWEEN(100,160)</f>
        <v>122</v>
      </c>
      <c r="F179" s="20">
        <f ca="1">(E179/160)*10</f>
        <v>7.625</v>
      </c>
      <c r="G179" s="16">
        <f ca="1">RANDBETWEEN(5,10)</f>
        <v>10</v>
      </c>
      <c r="H179" s="21">
        <f ca="1">G179/E179*100</f>
        <v>8.1967213114754092</v>
      </c>
      <c r="I179" s="23">
        <f ca="1" xml:space="preserve"> (H179*0.5) + (F179*0.3) + (G179*0.2)</f>
        <v>8.3858606557377051</v>
      </c>
      <c r="J179" s="9" t="str">
        <f ca="1">IF(I179&gt;=8,"Excellent",IF(I179&gt;=6,"Good","Needs Improvement"))</f>
        <v>Excellent</v>
      </c>
      <c r="K179" s="16">
        <f ca="1">IF(I179&gt;=8,9000,IF(I179&gt;=6,6000,4000))</f>
        <v>9000</v>
      </c>
    </row>
    <row r="180" spans="1:11">
      <c r="A180" s="2" t="s">
        <v>51</v>
      </c>
      <c r="B180" s="13" t="s">
        <v>4</v>
      </c>
      <c r="C180" s="13" t="s">
        <v>235</v>
      </c>
      <c r="D180" s="15">
        <v>46076</v>
      </c>
      <c r="E180" s="16">
        <f ca="1">RANDBETWEEN(100,160)</f>
        <v>132</v>
      </c>
      <c r="F180" s="20">
        <f ca="1">(E180/160)*10</f>
        <v>8.25</v>
      </c>
      <c r="G180" s="16">
        <f ca="1">RANDBETWEEN(5,10)</f>
        <v>10</v>
      </c>
      <c r="H180" s="21">
        <f ca="1">G180/E180*100</f>
        <v>7.5757575757575761</v>
      </c>
      <c r="I180" s="23">
        <f ca="1" xml:space="preserve"> (H180*0.5) + (F180*0.3) + (G180*0.2)</f>
        <v>8.2628787878787886</v>
      </c>
      <c r="J180" s="9" t="str">
        <f ca="1">IF(I180&gt;=8,"Excellent",IF(I180&gt;=6,"Good","Needs Improvement"))</f>
        <v>Excellent</v>
      </c>
      <c r="K180" s="16">
        <f ca="1">IF(I180&gt;=8,9000,IF(I180&gt;=6,6000,4000))</f>
        <v>9000</v>
      </c>
    </row>
    <row r="181" spans="1:11">
      <c r="A181" s="2" t="s">
        <v>43</v>
      </c>
      <c r="B181" s="13" t="s">
        <v>3</v>
      </c>
      <c r="C181" s="13" t="s">
        <v>230</v>
      </c>
      <c r="D181" s="15">
        <v>45810</v>
      </c>
      <c r="E181" s="16">
        <f ca="1">RANDBETWEEN(100,160)</f>
        <v>151</v>
      </c>
      <c r="F181" s="20">
        <f ca="1">(E181/160)*10</f>
        <v>9.4375</v>
      </c>
      <c r="G181" s="16">
        <f ca="1">RANDBETWEEN(5,10)</f>
        <v>8</v>
      </c>
      <c r="H181" s="21">
        <f ca="1">G181/E181*100</f>
        <v>5.298013245033113</v>
      </c>
      <c r="I181" s="23">
        <f ca="1" xml:space="preserve"> (H181*0.5) + (F181*0.3) + (G181*0.2)</f>
        <v>7.080256622516556</v>
      </c>
      <c r="J181" s="9" t="str">
        <f ca="1">IF(I181&gt;=8,"Excellent",IF(I181&gt;=6,"Good","Needs Improvement"))</f>
        <v>Good</v>
      </c>
      <c r="K181" s="16">
        <f ca="1">IF(I181&gt;=8,9000,IF(I181&gt;=6,6000,4000))</f>
        <v>6000</v>
      </c>
    </row>
    <row r="182" spans="1:11">
      <c r="A182" s="2" t="s">
        <v>95</v>
      </c>
      <c r="B182" s="13" t="s">
        <v>4</v>
      </c>
      <c r="C182" s="13" t="s">
        <v>234</v>
      </c>
      <c r="D182" s="15">
        <v>45629</v>
      </c>
      <c r="E182" s="16">
        <f ca="1">RANDBETWEEN(100,160)</f>
        <v>149</v>
      </c>
      <c r="F182" s="20">
        <f ca="1">(E182/160)*10</f>
        <v>9.3125</v>
      </c>
      <c r="G182" s="16">
        <f ca="1">RANDBETWEEN(5,10)</f>
        <v>9</v>
      </c>
      <c r="H182" s="21">
        <f ca="1">G182/E182*100</f>
        <v>6.0402684563758395</v>
      </c>
      <c r="I182" s="23">
        <f ca="1" xml:space="preserve"> (H182*0.5) + (F182*0.3) + (G182*0.2)</f>
        <v>7.6138842281879198</v>
      </c>
      <c r="J182" s="9" t="str">
        <f ca="1">IF(I182&gt;=8,"Excellent",IF(I182&gt;=6,"Good","Needs Improvement"))</f>
        <v>Good</v>
      </c>
      <c r="K182" s="16">
        <f ca="1">IF(I182&gt;=8,9000,IF(I182&gt;=6,6000,4000))</f>
        <v>6000</v>
      </c>
    </row>
    <row r="183" spans="1:11">
      <c r="A183" s="2" t="s">
        <v>37</v>
      </c>
      <c r="B183" s="13" t="s">
        <v>3</v>
      </c>
      <c r="C183" s="13" t="s">
        <v>232</v>
      </c>
      <c r="D183" s="15">
        <v>45658</v>
      </c>
      <c r="E183" s="16">
        <f ca="1">RANDBETWEEN(100,160)</f>
        <v>109</v>
      </c>
      <c r="F183" s="20">
        <f ca="1">(E183/160)*10</f>
        <v>6.8125</v>
      </c>
      <c r="G183" s="16">
        <f ca="1">RANDBETWEEN(5,10)</f>
        <v>6</v>
      </c>
      <c r="H183" s="21">
        <f ca="1">G183/E183*100</f>
        <v>5.5045871559633035</v>
      </c>
      <c r="I183" s="23">
        <f ca="1" xml:space="preserve"> (H183*0.5) + (F183*0.3) + (G183*0.2)</f>
        <v>5.9960435779816512</v>
      </c>
      <c r="J183" s="9" t="str">
        <f ca="1">IF(I183&gt;=8,"Excellent",IF(I183&gt;=6,"Good","Needs Improvement"))</f>
        <v>Needs Improvement</v>
      </c>
      <c r="K183" s="16">
        <f ca="1">IF(I183&gt;=8,9000,IF(I183&gt;=6,6000,4000))</f>
        <v>4000</v>
      </c>
    </row>
    <row r="184" spans="1:11">
      <c r="A184" s="2" t="s">
        <v>60</v>
      </c>
      <c r="B184" s="13" t="s">
        <v>220</v>
      </c>
      <c r="C184" s="13" t="s">
        <v>223</v>
      </c>
      <c r="D184" s="15">
        <v>44679</v>
      </c>
      <c r="E184" s="16">
        <f ca="1">RANDBETWEEN(100,160)</f>
        <v>160</v>
      </c>
      <c r="F184" s="20">
        <f ca="1">(E184/160)*10</f>
        <v>10</v>
      </c>
      <c r="G184" s="16">
        <f ca="1">RANDBETWEEN(5,10)</f>
        <v>6</v>
      </c>
      <c r="H184" s="21">
        <f ca="1">G184/E184*100</f>
        <v>3.75</v>
      </c>
      <c r="I184" s="23">
        <f ca="1" xml:space="preserve"> (H184*0.5) + (F184*0.3) + (G184*0.2)</f>
        <v>6.0750000000000002</v>
      </c>
      <c r="J184" s="9" t="str">
        <f ca="1">IF(I184&gt;=8,"Excellent",IF(I184&gt;=6,"Good","Needs Improvement"))</f>
        <v>Good</v>
      </c>
      <c r="K184" s="16">
        <f ca="1">IF(I184&gt;=8,9000,IF(I184&gt;=6,6000,4000))</f>
        <v>6000</v>
      </c>
    </row>
    <row r="185" spans="1:11">
      <c r="A185" s="2" t="s">
        <v>140</v>
      </c>
      <c r="B185" s="13" t="s">
        <v>1</v>
      </c>
      <c r="C185" s="13" t="s">
        <v>226</v>
      </c>
      <c r="D185" s="15">
        <v>45722</v>
      </c>
      <c r="E185" s="16">
        <f ca="1">RANDBETWEEN(100,160)</f>
        <v>139</v>
      </c>
      <c r="F185" s="20">
        <f ca="1">(E185/160)*10</f>
        <v>8.6875</v>
      </c>
      <c r="G185" s="16">
        <f ca="1">RANDBETWEEN(5,10)</f>
        <v>6</v>
      </c>
      <c r="H185" s="21">
        <f ca="1">G185/E185*100</f>
        <v>4.3165467625899279</v>
      </c>
      <c r="I185" s="23">
        <f ca="1" xml:space="preserve"> (H185*0.5) + (F185*0.3) + (G185*0.2)</f>
        <v>5.9645233812949643</v>
      </c>
      <c r="J185" s="9" t="str">
        <f ca="1">IF(I185&gt;=8,"Excellent",IF(I185&gt;=6,"Good","Needs Improvement"))</f>
        <v>Needs Improvement</v>
      </c>
      <c r="K185" s="16">
        <f ca="1">IF(I185&gt;=8,9000,IF(I185&gt;=6,6000,4000))</f>
        <v>4000</v>
      </c>
    </row>
    <row r="186" spans="1:11">
      <c r="A186" s="2" t="s">
        <v>57</v>
      </c>
      <c r="B186" s="13" t="s">
        <v>220</v>
      </c>
      <c r="C186" s="13" t="s">
        <v>223</v>
      </c>
      <c r="D186" s="15">
        <v>44662</v>
      </c>
      <c r="E186" s="16">
        <f ca="1">RANDBETWEEN(100,160)</f>
        <v>104</v>
      </c>
      <c r="F186" s="20">
        <f ca="1">(E186/160)*10</f>
        <v>6.5</v>
      </c>
      <c r="G186" s="16">
        <f ca="1">RANDBETWEEN(5,10)</f>
        <v>8</v>
      </c>
      <c r="H186" s="21">
        <f ca="1">G186/E186*100</f>
        <v>7.6923076923076925</v>
      </c>
      <c r="I186" s="23">
        <f ca="1" xml:space="preserve"> (H186*0.5) + (F186*0.3) + (G186*0.2)</f>
        <v>7.3961538461538456</v>
      </c>
      <c r="J186" s="9" t="str">
        <f ca="1">IF(I186&gt;=8,"Excellent",IF(I186&gt;=6,"Good","Needs Improvement"))</f>
        <v>Good</v>
      </c>
      <c r="K186" s="16">
        <f ca="1">IF(I186&gt;=8,9000,IF(I186&gt;=6,6000,4000))</f>
        <v>6000</v>
      </c>
    </row>
    <row r="187" spans="1:11">
      <c r="A187" s="2" t="s">
        <v>159</v>
      </c>
      <c r="B187" s="13" t="s">
        <v>3</v>
      </c>
      <c r="C187" s="13" t="s">
        <v>231</v>
      </c>
      <c r="D187" s="15">
        <v>44677</v>
      </c>
      <c r="E187" s="16">
        <f ca="1">RANDBETWEEN(100,160)</f>
        <v>124</v>
      </c>
      <c r="F187" s="20">
        <f ca="1">(E187/160)*10</f>
        <v>7.75</v>
      </c>
      <c r="G187" s="16">
        <f ca="1">RANDBETWEEN(5,10)</f>
        <v>8</v>
      </c>
      <c r="H187" s="21">
        <f ca="1">G187/E187*100</f>
        <v>6.4516129032258061</v>
      </c>
      <c r="I187" s="23">
        <f ca="1" xml:space="preserve"> (H187*0.5) + (F187*0.3) + (G187*0.2)</f>
        <v>7.1508064516129028</v>
      </c>
      <c r="J187" s="9" t="str">
        <f ca="1">IF(I187&gt;=8,"Excellent",IF(I187&gt;=6,"Good","Needs Improvement"))</f>
        <v>Good</v>
      </c>
      <c r="K187" s="16">
        <f ca="1">IF(I187&gt;=8,9000,IF(I187&gt;=6,6000,4000))</f>
        <v>6000</v>
      </c>
    </row>
    <row r="188" spans="1:11">
      <c r="A188" s="2" t="s">
        <v>127</v>
      </c>
      <c r="B188" s="13" t="s">
        <v>4</v>
      </c>
      <c r="C188" s="13" t="s">
        <v>238</v>
      </c>
      <c r="D188" s="15">
        <v>46035</v>
      </c>
      <c r="E188" s="16">
        <f ca="1">RANDBETWEEN(100,160)</f>
        <v>100</v>
      </c>
      <c r="F188" s="20">
        <f ca="1">(E188/160)*10</f>
        <v>6.25</v>
      </c>
      <c r="G188" s="16">
        <f ca="1">RANDBETWEEN(5,10)</f>
        <v>6</v>
      </c>
      <c r="H188" s="21">
        <f ca="1">G188/E188*100</f>
        <v>6</v>
      </c>
      <c r="I188" s="23">
        <f ca="1" xml:space="preserve"> (H188*0.5) + (F188*0.3) + (G188*0.2)</f>
        <v>6.0750000000000002</v>
      </c>
      <c r="J188" s="9" t="str">
        <f ca="1">IF(I188&gt;=8,"Excellent",IF(I188&gt;=6,"Good","Needs Improvement"))</f>
        <v>Good</v>
      </c>
      <c r="K188" s="16">
        <f ca="1">IF(I188&gt;=8,9000,IF(I188&gt;=6,6000,4000))</f>
        <v>6000</v>
      </c>
    </row>
    <row r="189" spans="1:11">
      <c r="A189" s="2" t="s">
        <v>158</v>
      </c>
      <c r="B189" s="13" t="s">
        <v>3</v>
      </c>
      <c r="C189" s="13" t="s">
        <v>230</v>
      </c>
      <c r="D189" s="15">
        <v>44664</v>
      </c>
      <c r="E189" s="16">
        <f ca="1">RANDBETWEEN(100,160)</f>
        <v>132</v>
      </c>
      <c r="F189" s="20">
        <f ca="1">(E189/160)*10</f>
        <v>8.25</v>
      </c>
      <c r="G189" s="16">
        <f ca="1">RANDBETWEEN(5,10)</f>
        <v>7</v>
      </c>
      <c r="H189" s="21">
        <f ca="1">G189/E189*100</f>
        <v>5.3030303030303028</v>
      </c>
      <c r="I189" s="23">
        <f ca="1" xml:space="preserve"> (H189*0.5) + (F189*0.3) + (G189*0.2)</f>
        <v>6.5265151515151523</v>
      </c>
      <c r="J189" s="9" t="str">
        <f ca="1">IF(I189&gt;=8,"Excellent",IF(I189&gt;=6,"Good","Needs Improvement"))</f>
        <v>Good</v>
      </c>
      <c r="K189" s="16">
        <f ca="1">IF(I189&gt;=8,9000,IF(I189&gt;=6,6000,4000))</f>
        <v>6000</v>
      </c>
    </row>
    <row r="190" spans="1:11">
      <c r="A190" s="2" t="s">
        <v>15</v>
      </c>
      <c r="B190" s="13" t="s">
        <v>1</v>
      </c>
      <c r="C190" s="13" t="s">
        <v>224</v>
      </c>
      <c r="D190" s="15">
        <v>45433</v>
      </c>
      <c r="E190" s="16">
        <f ca="1">RANDBETWEEN(100,160)</f>
        <v>136</v>
      </c>
      <c r="F190" s="20">
        <f ca="1">(E190/160)*10</f>
        <v>8.5</v>
      </c>
      <c r="G190" s="16">
        <f ca="1">RANDBETWEEN(5,10)</f>
        <v>6</v>
      </c>
      <c r="H190" s="21">
        <f ca="1">G190/E190*100</f>
        <v>4.4117647058823533</v>
      </c>
      <c r="I190" s="23">
        <f ca="1" xml:space="preserve"> (H190*0.5) + (F190*0.3) + (G190*0.2)</f>
        <v>5.9558823529411766</v>
      </c>
      <c r="J190" s="9" t="str">
        <f ca="1">IF(I190&gt;=8,"Excellent",IF(I190&gt;=6,"Good","Needs Improvement"))</f>
        <v>Needs Improvement</v>
      </c>
      <c r="K190" s="16">
        <f ca="1">IF(I190&gt;=8,9000,IF(I190&gt;=6,6000,4000))</f>
        <v>4000</v>
      </c>
    </row>
    <row r="191" spans="1:11">
      <c r="A191" s="2" t="s">
        <v>198</v>
      </c>
      <c r="B191" s="13" t="s">
        <v>3</v>
      </c>
      <c r="C191" s="13" t="s">
        <v>230</v>
      </c>
      <c r="D191" s="15">
        <v>45692</v>
      </c>
      <c r="E191" s="16">
        <f ca="1">RANDBETWEEN(100,160)</f>
        <v>155</v>
      </c>
      <c r="F191" s="20">
        <f ca="1">(E191/160)*10</f>
        <v>9.6875</v>
      </c>
      <c r="G191" s="16">
        <f ca="1">RANDBETWEEN(5,10)</f>
        <v>10</v>
      </c>
      <c r="H191" s="21">
        <f ca="1">G191/E191*100</f>
        <v>6.4516129032258061</v>
      </c>
      <c r="I191" s="23">
        <f ca="1" xml:space="preserve"> (H191*0.5) + (F191*0.3) + (G191*0.2)</f>
        <v>8.1320564516129039</v>
      </c>
      <c r="J191" s="9" t="str">
        <f ca="1">IF(I191&gt;=8,"Excellent",IF(I191&gt;=6,"Good","Needs Improvement"))</f>
        <v>Excellent</v>
      </c>
      <c r="K191" s="16">
        <f ca="1">IF(I191&gt;=8,9000,IF(I191&gt;=6,6000,4000))</f>
        <v>9000</v>
      </c>
    </row>
    <row r="192" spans="1:11">
      <c r="A192" s="2" t="s">
        <v>7</v>
      </c>
      <c r="B192" s="13" t="s">
        <v>220</v>
      </c>
      <c r="C192" s="13" t="s">
        <v>223</v>
      </c>
      <c r="D192" s="15">
        <v>45050</v>
      </c>
      <c r="E192" s="16">
        <f ca="1">RANDBETWEEN(100,160)</f>
        <v>124</v>
      </c>
      <c r="F192" s="20">
        <f ca="1">(E192/160)*10</f>
        <v>7.75</v>
      </c>
      <c r="G192" s="16">
        <f ca="1">RANDBETWEEN(5,10)</f>
        <v>7</v>
      </c>
      <c r="H192" s="21">
        <f ca="1">G192/E192*100</f>
        <v>5.6451612903225801</v>
      </c>
      <c r="I192" s="23">
        <f ca="1" xml:space="preserve"> (H192*0.5) + (F192*0.3) + (G192*0.2)</f>
        <v>6.5475806451612897</v>
      </c>
      <c r="J192" s="9" t="str">
        <f ca="1">IF(I192&gt;=8,"Excellent",IF(I192&gt;=6,"Good","Needs Improvement"))</f>
        <v>Good</v>
      </c>
      <c r="K192" s="16">
        <f ca="1">IF(I192&gt;=8,9000,IF(I192&gt;=6,6000,4000))</f>
        <v>6000</v>
      </c>
    </row>
    <row r="193" spans="1:11">
      <c r="A193" s="2" t="s">
        <v>118</v>
      </c>
      <c r="B193" s="13" t="s">
        <v>4</v>
      </c>
      <c r="C193" s="13" t="s">
        <v>234</v>
      </c>
      <c r="D193" s="15">
        <v>45551</v>
      </c>
      <c r="E193" s="16">
        <f ca="1">RANDBETWEEN(100,160)</f>
        <v>124</v>
      </c>
      <c r="F193" s="20">
        <f ca="1">(E193/160)*10</f>
        <v>7.75</v>
      </c>
      <c r="G193" s="16">
        <f ca="1">RANDBETWEEN(5,10)</f>
        <v>8</v>
      </c>
      <c r="H193" s="21">
        <f ca="1">G193/E193*100</f>
        <v>6.4516129032258061</v>
      </c>
      <c r="I193" s="23">
        <f ca="1" xml:space="preserve"> (H193*0.5) + (F193*0.3) + (G193*0.2)</f>
        <v>7.1508064516129028</v>
      </c>
      <c r="J193" s="9" t="str">
        <f ca="1">IF(I193&gt;=8,"Excellent",IF(I193&gt;=6,"Good","Needs Improvement"))</f>
        <v>Good</v>
      </c>
      <c r="K193" s="16">
        <f ca="1">IF(I193&gt;=8,9000,IF(I193&gt;=6,6000,4000))</f>
        <v>6000</v>
      </c>
    </row>
    <row r="194" spans="1:11">
      <c r="A194" s="2" t="s">
        <v>67</v>
      </c>
      <c r="B194" s="13" t="s">
        <v>1</v>
      </c>
      <c r="C194" s="13" t="s">
        <v>226</v>
      </c>
      <c r="D194" s="15">
        <v>44790</v>
      </c>
      <c r="E194" s="16">
        <f ca="1">RANDBETWEEN(100,160)</f>
        <v>153</v>
      </c>
      <c r="F194" s="20">
        <f ca="1">(E194/160)*10</f>
        <v>9.5625</v>
      </c>
      <c r="G194" s="16">
        <f ca="1">RANDBETWEEN(5,10)</f>
        <v>7</v>
      </c>
      <c r="H194" s="21">
        <f ca="1">G194/E194*100</f>
        <v>4.5751633986928102</v>
      </c>
      <c r="I194" s="23">
        <f ca="1" xml:space="preserve"> (H194*0.5) + (F194*0.3) + (G194*0.2)</f>
        <v>6.5563316993464049</v>
      </c>
      <c r="J194" s="9" t="str">
        <f ca="1">IF(I194&gt;=8,"Excellent",IF(I194&gt;=6,"Good","Needs Improvement"))</f>
        <v>Good</v>
      </c>
      <c r="K194" s="16">
        <f ca="1">IF(I194&gt;=8,9000,IF(I194&gt;=6,6000,4000))</f>
        <v>6000</v>
      </c>
    </row>
    <row r="195" spans="1:11">
      <c r="A195" s="2" t="s">
        <v>89</v>
      </c>
      <c r="B195" s="13" t="s">
        <v>3</v>
      </c>
      <c r="C195" s="13" t="s">
        <v>230</v>
      </c>
      <c r="D195" s="15">
        <v>45485</v>
      </c>
      <c r="E195" s="16">
        <f ca="1">RANDBETWEEN(100,160)</f>
        <v>131</v>
      </c>
      <c r="F195" s="20">
        <f ca="1">(E195/160)*10</f>
        <v>8.1875</v>
      </c>
      <c r="G195" s="16">
        <f ca="1">RANDBETWEEN(5,10)</f>
        <v>6</v>
      </c>
      <c r="H195" s="21">
        <f ca="1">G195/E195*100</f>
        <v>4.5801526717557248</v>
      </c>
      <c r="I195" s="23">
        <f ca="1" xml:space="preserve"> (H195*0.5) + (F195*0.3) + (G195*0.2)</f>
        <v>5.9463263358778624</v>
      </c>
      <c r="J195" s="9" t="str">
        <f ca="1">IF(I195&gt;=8,"Excellent",IF(I195&gt;=6,"Good","Needs Improvement"))</f>
        <v>Needs Improvement</v>
      </c>
      <c r="K195" s="16">
        <f ca="1">IF(I195&gt;=8,9000,IF(I195&gt;=6,6000,4000))</f>
        <v>4000</v>
      </c>
    </row>
    <row r="196" spans="1:11">
      <c r="A196" s="2" t="s">
        <v>150</v>
      </c>
      <c r="B196" s="13" t="s">
        <v>2</v>
      </c>
      <c r="C196" s="13" t="s">
        <v>229</v>
      </c>
      <c r="D196" s="15">
        <v>46037</v>
      </c>
      <c r="E196" s="16">
        <f ca="1">RANDBETWEEN(100,160)</f>
        <v>125</v>
      </c>
      <c r="F196" s="20">
        <f ca="1">(E196/160)*10</f>
        <v>7.8125</v>
      </c>
      <c r="G196" s="16">
        <f ca="1">RANDBETWEEN(5,10)</f>
        <v>6</v>
      </c>
      <c r="H196" s="21">
        <f ca="1">G196/E196*100</f>
        <v>4.8</v>
      </c>
      <c r="I196" s="23">
        <f ca="1" xml:space="preserve"> (H196*0.5) + (F196*0.3) + (G196*0.2)</f>
        <v>5.9437500000000005</v>
      </c>
      <c r="J196" s="9" t="str">
        <f ca="1">IF(I196&gt;=8,"Excellent",IF(I196&gt;=6,"Good","Needs Improvement"))</f>
        <v>Needs Improvement</v>
      </c>
      <c r="K196" s="16">
        <f ca="1">IF(I196&gt;=8,9000,IF(I196&gt;=6,6000,4000))</f>
        <v>4000</v>
      </c>
    </row>
    <row r="197" spans="1:11">
      <c r="A197" s="2" t="s">
        <v>199</v>
      </c>
      <c r="B197" s="13" t="s">
        <v>3</v>
      </c>
      <c r="C197" s="13" t="s">
        <v>231</v>
      </c>
      <c r="D197" s="15">
        <v>45698</v>
      </c>
      <c r="E197" s="16">
        <f ca="1">RANDBETWEEN(100,160)</f>
        <v>124</v>
      </c>
      <c r="F197" s="20">
        <f ca="1">(E197/160)*10</f>
        <v>7.75</v>
      </c>
      <c r="G197" s="16">
        <f ca="1">RANDBETWEEN(5,10)</f>
        <v>6</v>
      </c>
      <c r="H197" s="21">
        <f ca="1">G197/E197*100</f>
        <v>4.838709677419355</v>
      </c>
      <c r="I197" s="23">
        <f ca="1" xml:space="preserve"> (H197*0.5) + (F197*0.3) + (G197*0.2)</f>
        <v>5.9443548387096774</v>
      </c>
      <c r="J197" s="9" t="str">
        <f ca="1">IF(I197&gt;=8,"Excellent",IF(I197&gt;=6,"Good","Needs Improvement"))</f>
        <v>Needs Improvement</v>
      </c>
      <c r="K197" s="16">
        <f ca="1">IF(I197&gt;=8,9000,IF(I197&gt;=6,6000,4000))</f>
        <v>4000</v>
      </c>
    </row>
    <row r="198" spans="1:11">
      <c r="A198" s="2" t="s">
        <v>30</v>
      </c>
      <c r="B198" s="13" t="s">
        <v>2</v>
      </c>
      <c r="C198" s="13" t="s">
        <v>229</v>
      </c>
      <c r="D198" s="15">
        <v>45363</v>
      </c>
      <c r="E198" s="16">
        <f ca="1">RANDBETWEEN(100,160)</f>
        <v>142</v>
      </c>
      <c r="F198" s="20">
        <f ca="1">(E198/160)*10</f>
        <v>8.875</v>
      </c>
      <c r="G198" s="16">
        <f ca="1">RANDBETWEEN(5,10)</f>
        <v>5</v>
      </c>
      <c r="H198" s="21">
        <f ca="1">G198/E198*100</f>
        <v>3.5211267605633805</v>
      </c>
      <c r="I198" s="23">
        <f ca="1" xml:space="preserve"> (H198*0.5) + (F198*0.3) + (G198*0.2)</f>
        <v>5.4230633802816905</v>
      </c>
      <c r="J198" s="9" t="str">
        <f ca="1">IF(I198&gt;=8,"Excellent",IF(I198&gt;=6,"Good","Needs Improvement"))</f>
        <v>Needs Improvement</v>
      </c>
      <c r="K198" s="16">
        <f ca="1">IF(I198&gt;=8,9000,IF(I198&gt;=6,6000,4000))</f>
        <v>4000</v>
      </c>
    </row>
    <row r="199" spans="1:11">
      <c r="A199" s="2" t="s">
        <v>185</v>
      </c>
      <c r="B199" s="13" t="s">
        <v>2</v>
      </c>
      <c r="C199" s="13" t="s">
        <v>229</v>
      </c>
      <c r="D199" s="15">
        <v>45404</v>
      </c>
      <c r="E199" s="16">
        <f ca="1">RANDBETWEEN(100,160)</f>
        <v>122</v>
      </c>
      <c r="F199" s="20">
        <f ca="1">(E199/160)*10</f>
        <v>7.625</v>
      </c>
      <c r="G199" s="16">
        <f ca="1">RANDBETWEEN(5,10)</f>
        <v>10</v>
      </c>
      <c r="H199" s="21">
        <f ca="1">G199/E199*100</f>
        <v>8.1967213114754092</v>
      </c>
      <c r="I199" s="23">
        <f ca="1" xml:space="preserve"> (H199*0.5) + (F199*0.3) + (G199*0.2)</f>
        <v>8.3858606557377051</v>
      </c>
      <c r="J199" s="9" t="str">
        <f ca="1">IF(I199&gt;=8,"Excellent",IF(I199&gt;=6,"Good","Needs Improvement"))</f>
        <v>Excellent</v>
      </c>
      <c r="K199" s="16">
        <f ca="1">IF(I199&gt;=8,9000,IF(I199&gt;=6,6000,4000))</f>
        <v>9000</v>
      </c>
    </row>
    <row r="200" spans="1:11">
      <c r="A200" s="2" t="s">
        <v>120</v>
      </c>
      <c r="B200" s="13" t="s">
        <v>4</v>
      </c>
      <c r="C200" s="13" t="s">
        <v>236</v>
      </c>
      <c r="D200" s="15">
        <v>45607</v>
      </c>
      <c r="E200" s="16">
        <f ca="1">RANDBETWEEN(100,160)</f>
        <v>159</v>
      </c>
      <c r="F200" s="20">
        <f ca="1">(E200/160)*10</f>
        <v>9.9375</v>
      </c>
      <c r="G200" s="16">
        <f ca="1">RANDBETWEEN(5,10)</f>
        <v>5</v>
      </c>
      <c r="H200" s="21">
        <f ca="1">G200/E200*100</f>
        <v>3.1446540880503147</v>
      </c>
      <c r="I200" s="23">
        <f ca="1" xml:space="preserve"> (H200*0.5) + (F200*0.3) + (G200*0.2)</f>
        <v>5.5535770440251575</v>
      </c>
      <c r="J200" s="9" t="str">
        <f ca="1">IF(I200&gt;=8,"Excellent",IF(I200&gt;=6,"Good","Needs Improvement"))</f>
        <v>Needs Improvement</v>
      </c>
      <c r="K200" s="16">
        <f ca="1">IF(I200&gt;=8,9000,IF(I200&gt;=6,6000,4000))</f>
        <v>4000</v>
      </c>
    </row>
    <row r="201" spans="1:11">
      <c r="A201" s="2" t="s">
        <v>203</v>
      </c>
      <c r="B201" s="13" t="s">
        <v>4</v>
      </c>
      <c r="C201" s="13" t="s">
        <v>237</v>
      </c>
      <c r="D201" s="15">
        <v>45743</v>
      </c>
      <c r="E201" s="16">
        <f ca="1">RANDBETWEEN(100,160)</f>
        <v>132</v>
      </c>
      <c r="F201" s="20">
        <f ca="1">(E201/160)*10</f>
        <v>8.25</v>
      </c>
      <c r="G201" s="16">
        <f ca="1">RANDBETWEEN(5,10)</f>
        <v>9</v>
      </c>
      <c r="H201" s="21">
        <f ca="1">G201/E201*100</f>
        <v>6.8181818181818175</v>
      </c>
      <c r="I201" s="23">
        <f ca="1" xml:space="preserve"> (H201*0.5) + (F201*0.3) + (G201*0.2)</f>
        <v>7.6840909090909086</v>
      </c>
      <c r="J201" s="9" t="str">
        <f ca="1">IF(I201&gt;=8,"Excellent",IF(I201&gt;=6,"Good","Needs Improvement"))</f>
        <v>Good</v>
      </c>
      <c r="K201" s="16">
        <f ca="1">IF(I201&gt;=8,9000,IF(I201&gt;=6,6000,4000))</f>
        <v>6000</v>
      </c>
    </row>
    <row r="202" spans="1:11">
      <c r="A202" s="2" t="s">
        <v>177</v>
      </c>
      <c r="B202" s="13" t="s">
        <v>4</v>
      </c>
      <c r="C202" s="13" t="s">
        <v>238</v>
      </c>
      <c r="D202" s="15">
        <v>44957</v>
      </c>
      <c r="E202" s="16">
        <f ca="1">RANDBETWEEN(100,160)</f>
        <v>130</v>
      </c>
      <c r="F202" s="20">
        <f ca="1">(E202/160)*10</f>
        <v>8.125</v>
      </c>
      <c r="G202" s="16">
        <f ca="1">RANDBETWEEN(5,10)</f>
        <v>6</v>
      </c>
      <c r="H202" s="21">
        <f ca="1">G202/E202*100</f>
        <v>4.6153846153846159</v>
      </c>
      <c r="I202" s="23">
        <f ca="1" xml:space="preserve"> (H202*0.5) + (F202*0.3) + (G202*0.2)</f>
        <v>5.9451923076923086</v>
      </c>
      <c r="J202" s="9" t="str">
        <f ca="1">IF(I202&gt;=8,"Excellent",IF(I202&gt;=6,"Good","Needs Improvement"))</f>
        <v>Needs Improvement</v>
      </c>
      <c r="K202" s="16">
        <f ca="1">IF(I202&gt;=8,9000,IF(I202&gt;=6,6000,4000))</f>
        <v>4000</v>
      </c>
    </row>
    <row r="203" spans="1:11">
      <c r="A203" s="2" t="s">
        <v>35</v>
      </c>
      <c r="B203" s="13" t="s">
        <v>3</v>
      </c>
      <c r="C203" s="13" t="s">
        <v>230</v>
      </c>
      <c r="D203" s="15">
        <v>45581</v>
      </c>
      <c r="E203" s="16">
        <f ca="1">RANDBETWEEN(100,160)</f>
        <v>120</v>
      </c>
      <c r="F203" s="20">
        <f ca="1">(E203/160)*10</f>
        <v>7.5</v>
      </c>
      <c r="G203" s="16">
        <f ca="1">RANDBETWEEN(5,10)</f>
        <v>7</v>
      </c>
      <c r="H203" s="21">
        <f ca="1">G203/E203*100</f>
        <v>5.833333333333333</v>
      </c>
      <c r="I203" s="23">
        <f ca="1" xml:space="preserve"> (H203*0.5) + (F203*0.3) + (G203*0.2)</f>
        <v>6.5666666666666664</v>
      </c>
      <c r="J203" s="9" t="str">
        <f ca="1">IF(I203&gt;=8,"Excellent",IF(I203&gt;=6,"Good","Needs Improvement"))</f>
        <v>Good</v>
      </c>
      <c r="K203" s="16">
        <f ca="1">IF(I203&gt;=8,9000,IF(I203&gt;=6,6000,4000))</f>
        <v>6000</v>
      </c>
    </row>
    <row r="204" spans="1:11">
      <c r="A204" s="2" t="s">
        <v>208</v>
      </c>
      <c r="B204" s="13" t="s">
        <v>4</v>
      </c>
      <c r="C204" s="13" t="s">
        <v>237</v>
      </c>
      <c r="D204" s="15">
        <v>44735</v>
      </c>
      <c r="E204" s="16">
        <f ca="1">RANDBETWEEN(100,160)</f>
        <v>113</v>
      </c>
      <c r="F204" s="20">
        <f ca="1">(E204/160)*10</f>
        <v>7.0625</v>
      </c>
      <c r="G204" s="16">
        <f ca="1">RANDBETWEEN(5,10)</f>
        <v>10</v>
      </c>
      <c r="H204" s="21">
        <f ca="1">G204/E204*100</f>
        <v>8.8495575221238933</v>
      </c>
      <c r="I204" s="23">
        <f ca="1" xml:space="preserve"> (H204*0.5) + (F204*0.3) + (G204*0.2)</f>
        <v>8.5435287610619461</v>
      </c>
      <c r="J204" s="9" t="str">
        <f ca="1">IF(I204&gt;=8,"Excellent",IF(I204&gt;=6,"Good","Needs Improvement"))</f>
        <v>Excellent</v>
      </c>
      <c r="K204" s="16">
        <f ca="1">IF(I204&gt;=8,9000,IF(I204&gt;=6,6000,4000))</f>
        <v>9000</v>
      </c>
    </row>
    <row r="205" spans="1:11">
      <c r="A205" s="2" t="s">
        <v>52</v>
      </c>
      <c r="B205" s="13" t="s">
        <v>4</v>
      </c>
      <c r="C205" s="13" t="s">
        <v>236</v>
      </c>
      <c r="D205" s="15">
        <v>46091</v>
      </c>
      <c r="E205" s="16">
        <f ca="1">RANDBETWEEN(100,160)</f>
        <v>109</v>
      </c>
      <c r="F205" s="20">
        <f ca="1">(E205/160)*10</f>
        <v>6.8125</v>
      </c>
      <c r="G205" s="16">
        <f ca="1">RANDBETWEEN(5,10)</f>
        <v>7</v>
      </c>
      <c r="H205" s="21">
        <f ca="1">G205/E205*100</f>
        <v>6.4220183486238538</v>
      </c>
      <c r="I205" s="23">
        <f ca="1" xml:space="preserve"> (H205*0.5) + (F205*0.3) + (G205*0.2)</f>
        <v>6.654759174311927</v>
      </c>
      <c r="J205" s="9" t="str">
        <f ca="1">IF(I205&gt;=8,"Excellent",IF(I205&gt;=6,"Good","Needs Improvement"))</f>
        <v>Good</v>
      </c>
      <c r="K205" s="16">
        <f ca="1">IF(I205&gt;=8,9000,IF(I205&gt;=6,6000,4000))</f>
        <v>6000</v>
      </c>
    </row>
    <row r="206" spans="1:11">
      <c r="A206" s="2" t="s">
        <v>36</v>
      </c>
      <c r="B206" s="13" t="s">
        <v>3</v>
      </c>
      <c r="C206" s="13" t="s">
        <v>231</v>
      </c>
      <c r="D206" s="15">
        <v>45638</v>
      </c>
      <c r="E206" s="16">
        <f ca="1">RANDBETWEEN(100,160)</f>
        <v>142</v>
      </c>
      <c r="F206" s="20">
        <f ca="1">(E206/160)*10</f>
        <v>8.875</v>
      </c>
      <c r="G206" s="16">
        <f ca="1">RANDBETWEEN(5,10)</f>
        <v>9</v>
      </c>
      <c r="H206" s="21">
        <f ca="1">G206/E206*100</f>
        <v>6.3380281690140841</v>
      </c>
      <c r="I206" s="23">
        <f ca="1" xml:space="preserve"> (H206*0.5) + (F206*0.3) + (G206*0.2)</f>
        <v>7.6315140845070415</v>
      </c>
      <c r="J206" s="9" t="str">
        <f ca="1">IF(I206&gt;=8,"Excellent",IF(I206&gt;=6,"Good","Needs Improvement"))</f>
        <v>Good</v>
      </c>
      <c r="K206" s="16">
        <f ca="1">IF(I206&gt;=8,9000,IF(I206&gt;=6,6000,4000))</f>
        <v>6000</v>
      </c>
    </row>
    <row r="207" spans="1:11">
      <c r="A207" s="2" t="s">
        <v>98</v>
      </c>
      <c r="B207" s="13" t="s">
        <v>4</v>
      </c>
      <c r="C207" s="13" t="s">
        <v>237</v>
      </c>
      <c r="D207" s="15">
        <v>45692</v>
      </c>
      <c r="E207" s="16">
        <f ca="1">RANDBETWEEN(100,160)</f>
        <v>112</v>
      </c>
      <c r="F207" s="20">
        <f ca="1">(E207/160)*10</f>
        <v>7</v>
      </c>
      <c r="G207" s="16">
        <f ca="1">RANDBETWEEN(5,10)</f>
        <v>10</v>
      </c>
      <c r="H207" s="21">
        <f ca="1">G207/E207*100</f>
        <v>8.9285714285714288</v>
      </c>
      <c r="I207" s="23">
        <f ca="1" xml:space="preserve"> (H207*0.5) + (F207*0.3) + (G207*0.2)</f>
        <v>8.5642857142857149</v>
      </c>
      <c r="J207" s="9" t="str">
        <f ca="1">IF(I207&gt;=8,"Excellent",IF(I207&gt;=6,"Good","Needs Improvement"))</f>
        <v>Excellent</v>
      </c>
      <c r="K207" s="16">
        <f ca="1">IF(I207&gt;=8,9000,IF(I207&gt;=6,6000,4000))</f>
        <v>9000</v>
      </c>
    </row>
    <row r="208" spans="1:11">
      <c r="A208" s="2" t="s">
        <v>192</v>
      </c>
      <c r="B208" s="13" t="s">
        <v>3</v>
      </c>
      <c r="C208" s="13" t="s">
        <v>232</v>
      </c>
      <c r="D208" s="15">
        <v>45575</v>
      </c>
      <c r="E208" s="16">
        <f ca="1">RANDBETWEEN(100,160)</f>
        <v>147</v>
      </c>
      <c r="F208" s="20">
        <f ca="1">(E208/160)*10</f>
        <v>9.1875</v>
      </c>
      <c r="G208" s="16">
        <f ca="1">RANDBETWEEN(5,10)</f>
        <v>9</v>
      </c>
      <c r="H208" s="21">
        <f ca="1">G208/E208*100</f>
        <v>6.1224489795918364</v>
      </c>
      <c r="I208" s="23">
        <f ca="1" xml:space="preserve"> (H208*0.5) + (F208*0.3) + (G208*0.2)</f>
        <v>7.6174744897959181</v>
      </c>
      <c r="J208" s="9" t="str">
        <f ca="1">IF(I208&gt;=8,"Excellent",IF(I208&gt;=6,"Good","Needs Improvement"))</f>
        <v>Good</v>
      </c>
      <c r="K208" s="16">
        <f ca="1">IF(I208&gt;=8,9000,IF(I208&gt;=6,6000,4000))</f>
        <v>6000</v>
      </c>
    </row>
    <row r="209" spans="1:11">
      <c r="A209" s="2" t="s">
        <v>197</v>
      </c>
      <c r="B209" s="13" t="s">
        <v>3</v>
      </c>
      <c r="C209" s="13" t="s">
        <v>233</v>
      </c>
      <c r="D209" s="15">
        <v>45686</v>
      </c>
      <c r="E209" s="16">
        <f ca="1">RANDBETWEEN(100,160)</f>
        <v>160</v>
      </c>
      <c r="F209" s="20">
        <f ca="1">(E209/160)*10</f>
        <v>10</v>
      </c>
      <c r="G209" s="16">
        <f ca="1">RANDBETWEEN(5,10)</f>
        <v>5</v>
      </c>
      <c r="H209" s="21">
        <f ca="1">G209/E209*100</f>
        <v>3.125</v>
      </c>
      <c r="I209" s="23">
        <f ca="1" xml:space="preserve"> (H209*0.5) + (F209*0.3) + (G209*0.2)</f>
        <v>5.5625</v>
      </c>
      <c r="J209" s="9" t="str">
        <f ca="1">IF(I209&gt;=8,"Excellent",IF(I209&gt;=6,"Good","Needs Improvement"))</f>
        <v>Needs Improvement</v>
      </c>
      <c r="K209" s="16">
        <f ca="1">IF(I209&gt;=8,9000,IF(I209&gt;=6,6000,4000))</f>
        <v>4000</v>
      </c>
    </row>
    <row r="210" spans="1:11">
      <c r="A210" s="2" t="s">
        <v>143</v>
      </c>
      <c r="B210" s="13" t="s">
        <v>1</v>
      </c>
      <c r="C210" s="13" t="s">
        <v>226</v>
      </c>
      <c r="D210" s="15">
        <v>45810</v>
      </c>
      <c r="E210" s="16">
        <f ca="1">RANDBETWEEN(100,160)</f>
        <v>123</v>
      </c>
      <c r="F210" s="20">
        <f ca="1">(E210/160)*10</f>
        <v>7.6875</v>
      </c>
      <c r="G210" s="16">
        <f ca="1">RANDBETWEEN(5,10)</f>
        <v>7</v>
      </c>
      <c r="H210" s="21">
        <f ca="1">G210/E210*100</f>
        <v>5.6910569105691051</v>
      </c>
      <c r="I210" s="23">
        <f ca="1" xml:space="preserve"> (H210*0.5) + (F210*0.3) + (G210*0.2)</f>
        <v>6.5517784552845528</v>
      </c>
      <c r="J210" s="9" t="str">
        <f ca="1">IF(I210&gt;=8,"Excellent",IF(I210&gt;=6,"Good","Needs Improvement"))</f>
        <v>Good</v>
      </c>
      <c r="K210" s="16">
        <f ca="1">IF(I210&gt;=8,9000,IF(I210&gt;=6,6000,4000))</f>
        <v>6000</v>
      </c>
    </row>
    <row r="211" spans="1:11">
      <c r="A211" s="2" t="s">
        <v>18</v>
      </c>
      <c r="B211" s="13" t="s">
        <v>1</v>
      </c>
      <c r="C211" s="13" t="s">
        <v>224</v>
      </c>
      <c r="D211" s="15">
        <v>45551</v>
      </c>
      <c r="E211" s="16">
        <f ca="1">RANDBETWEEN(100,160)</f>
        <v>132</v>
      </c>
      <c r="F211" s="20">
        <f ca="1">(E211/160)*10</f>
        <v>8.25</v>
      </c>
      <c r="G211" s="16">
        <f ca="1">RANDBETWEEN(5,10)</f>
        <v>8</v>
      </c>
      <c r="H211" s="21">
        <f ca="1">G211/E211*100</f>
        <v>6.0606060606060606</v>
      </c>
      <c r="I211" s="23">
        <f ca="1" xml:space="preserve"> (H211*0.5) + (F211*0.3) + (G211*0.2)</f>
        <v>7.1053030303030305</v>
      </c>
      <c r="J211" s="9" t="str">
        <f ca="1">IF(I211&gt;=8,"Excellent",IF(I211&gt;=6,"Good","Needs Improvement"))</f>
        <v>Good</v>
      </c>
      <c r="K211" s="16">
        <f ca="1">IF(I211&gt;=8,9000,IF(I211&gt;=6,6000,4000))</f>
        <v>6000</v>
      </c>
    </row>
    <row r="213" spans="1:11">
      <c r="A213" s="9"/>
    </row>
    <row r="215" spans="1:11">
      <c r="C215" s="1"/>
    </row>
    <row r="216" spans="1:11">
      <c r="C216" s="1"/>
    </row>
    <row r="217" spans="1:11">
      <c r="C217" s="1"/>
    </row>
    <row r="218" spans="1:11">
      <c r="C218" s="1"/>
    </row>
    <row r="219" spans="1:11">
      <c r="C219" s="1"/>
    </row>
    <row r="220" spans="1:11">
      <c r="C220" s="1"/>
    </row>
    <row r="221" spans="1:11">
      <c r="C221" s="1"/>
    </row>
    <row r="222" spans="1:11">
      <c r="C222" s="1"/>
    </row>
    <row r="223" spans="1:11">
      <c r="C223" s="1"/>
    </row>
    <row r="224" spans="1:11">
      <c r="C224" s="1"/>
    </row>
    <row r="225" spans="3:3">
      <c r="C225" s="1"/>
    </row>
    <row r="226" spans="3:3">
      <c r="C226" s="1"/>
    </row>
    <row r="227" spans="3:3">
      <c r="C227" s="1"/>
    </row>
    <row r="228" spans="3:3">
      <c r="C228" s="1"/>
    </row>
    <row r="229" spans="3:3">
      <c r="C229" s="1"/>
    </row>
    <row r="230" spans="3:3">
      <c r="C230" s="1"/>
    </row>
    <row r="231" spans="3:3">
      <c r="C231" s="1"/>
    </row>
    <row r="232" spans="3:3">
      <c r="C232" s="1"/>
    </row>
    <row r="233" spans="3:3">
      <c r="C233" s="1"/>
    </row>
    <row r="234" spans="3:3">
      <c r="C234" s="1"/>
    </row>
    <row r="235" spans="3:3">
      <c r="C235" s="1"/>
    </row>
    <row r="236" spans="3:3">
      <c r="C236" s="1"/>
    </row>
    <row r="237" spans="3:3">
      <c r="C237" s="1"/>
    </row>
    <row r="238" spans="3:3">
      <c r="C238" s="1"/>
    </row>
    <row r="239" spans="3:3">
      <c r="C239" s="1"/>
    </row>
    <row r="240" spans="3:3">
      <c r="C240" s="1"/>
    </row>
    <row r="241" spans="3:3">
      <c r="C241" s="1"/>
    </row>
    <row r="242" spans="3:3">
      <c r="C242" s="1"/>
    </row>
    <row r="243" spans="3:3">
      <c r="C243" s="1"/>
    </row>
    <row r="244" spans="3:3">
      <c r="C244" s="1"/>
    </row>
    <row r="245" spans="3:3">
      <c r="C245" s="1"/>
    </row>
    <row r="246" spans="3:3">
      <c r="C246" s="1"/>
    </row>
    <row r="247" spans="3:3">
      <c r="C247" s="1"/>
    </row>
    <row r="248" spans="3:3">
      <c r="C248" s="1"/>
    </row>
    <row r="249" spans="3:3">
      <c r="C249" s="1"/>
    </row>
    <row r="250" spans="3:3">
      <c r="C250" s="1"/>
    </row>
    <row r="251" spans="3:3">
      <c r="C251" s="1"/>
    </row>
    <row r="252" spans="3:3">
      <c r="C252" s="1"/>
    </row>
    <row r="253" spans="3:3">
      <c r="C253" s="1"/>
    </row>
    <row r="254" spans="3:3">
      <c r="C254" s="1"/>
    </row>
    <row r="255" spans="3:3">
      <c r="C255" s="1"/>
    </row>
    <row r="256" spans="3:3">
      <c r="C256" s="1"/>
    </row>
    <row r="257" spans="3:3">
      <c r="C257" s="1"/>
    </row>
    <row r="258" spans="3:3">
      <c r="C258" s="1"/>
    </row>
    <row r="259" spans="3:3">
      <c r="C259" s="1"/>
    </row>
    <row r="260" spans="3:3">
      <c r="C260" s="1"/>
    </row>
    <row r="261" spans="3:3">
      <c r="C261" s="1"/>
    </row>
    <row r="262" spans="3:3">
      <c r="C262" s="1"/>
    </row>
    <row r="263" spans="3:3">
      <c r="C263" s="1"/>
    </row>
    <row r="264" spans="3:3">
      <c r="C264" s="1"/>
    </row>
    <row r="265" spans="3:3">
      <c r="C265" s="1"/>
    </row>
    <row r="266" spans="3:3">
      <c r="C266" s="1"/>
    </row>
    <row r="267" spans="3:3">
      <c r="C267" s="1"/>
    </row>
    <row r="268" spans="3:3">
      <c r="C268" s="1"/>
    </row>
    <row r="269" spans="3:3">
      <c r="C269" s="1"/>
    </row>
    <row r="270" spans="3:3">
      <c r="C270" s="1"/>
    </row>
    <row r="271" spans="3:3">
      <c r="C271" s="1"/>
    </row>
    <row r="272" spans="3:3">
      <c r="C272" s="1"/>
    </row>
    <row r="273" spans="3:3">
      <c r="C273" s="1"/>
    </row>
    <row r="274" spans="3:3">
      <c r="C274" s="1"/>
    </row>
    <row r="275" spans="3:3">
      <c r="C275" s="1"/>
    </row>
    <row r="276" spans="3:3">
      <c r="C276" s="1"/>
    </row>
    <row r="277" spans="3:3">
      <c r="C277" s="1"/>
    </row>
    <row r="278" spans="3:3">
      <c r="C278" s="1"/>
    </row>
    <row r="279" spans="3:3">
      <c r="C279" s="1"/>
    </row>
    <row r="280" spans="3:3">
      <c r="C280" s="1"/>
    </row>
    <row r="281" spans="3:3">
      <c r="C281" s="1"/>
    </row>
    <row r="282" spans="3:3">
      <c r="C282" s="1"/>
    </row>
    <row r="283" spans="3:3">
      <c r="C283" s="1"/>
    </row>
    <row r="284" spans="3:3">
      <c r="C284" s="1"/>
    </row>
    <row r="285" spans="3:3">
      <c r="C285" s="1"/>
    </row>
    <row r="286" spans="3:3">
      <c r="C286" s="1"/>
    </row>
    <row r="287" spans="3:3">
      <c r="C287" s="1"/>
    </row>
    <row r="288" spans="3:3">
      <c r="C288" s="1"/>
    </row>
    <row r="289" spans="3:3">
      <c r="C289" s="1"/>
    </row>
    <row r="290" spans="3:3">
      <c r="C290" s="1"/>
    </row>
    <row r="291" spans="3:3">
      <c r="C291" s="1"/>
    </row>
    <row r="292" spans="3:3">
      <c r="C292" s="1"/>
    </row>
    <row r="293" spans="3:3">
      <c r="C293" s="1"/>
    </row>
    <row r="294" spans="3:3">
      <c r="C294" s="1"/>
    </row>
    <row r="295" spans="3:3">
      <c r="C295" s="1"/>
    </row>
    <row r="296" spans="3:3">
      <c r="C296" s="1"/>
    </row>
    <row r="297" spans="3:3">
      <c r="C297" s="1"/>
    </row>
    <row r="298" spans="3:3">
      <c r="C298" s="1"/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  <row r="584" spans="3:3">
      <c r="C584" s="1"/>
    </row>
    <row r="585" spans="3:3">
      <c r="C585" s="1"/>
    </row>
    <row r="586" spans="3:3">
      <c r="C586" s="1"/>
    </row>
    <row r="587" spans="3:3">
      <c r="C587" s="1"/>
    </row>
    <row r="588" spans="3:3">
      <c r="C588" s="1"/>
    </row>
    <row r="589" spans="3:3">
      <c r="C589" s="1"/>
    </row>
    <row r="590" spans="3:3">
      <c r="C590" s="1"/>
    </row>
    <row r="591" spans="3:3">
      <c r="C591" s="1"/>
    </row>
    <row r="592" spans="3:3">
      <c r="C592" s="1"/>
    </row>
    <row r="593" spans="3:3">
      <c r="C593" s="1"/>
    </row>
    <row r="594" spans="3:3">
      <c r="C594" s="1"/>
    </row>
    <row r="595" spans="3:3">
      <c r="C595" s="1"/>
    </row>
    <row r="596" spans="3:3">
      <c r="C596" s="1"/>
    </row>
    <row r="597" spans="3:3">
      <c r="C597" s="1"/>
    </row>
    <row r="598" spans="3:3">
      <c r="C598" s="1"/>
    </row>
    <row r="599" spans="3:3">
      <c r="C599" s="1"/>
    </row>
    <row r="600" spans="3:3">
      <c r="C600" s="1"/>
    </row>
    <row r="601" spans="3:3">
      <c r="C601" s="1"/>
    </row>
    <row r="602" spans="3:3">
      <c r="C602" s="1"/>
    </row>
    <row r="603" spans="3:3">
      <c r="C603" s="1"/>
    </row>
    <row r="604" spans="3:3">
      <c r="C604" s="1"/>
    </row>
    <row r="605" spans="3:3">
      <c r="C605" s="1"/>
    </row>
    <row r="606" spans="3:3">
      <c r="C606" s="1"/>
    </row>
    <row r="607" spans="3:3">
      <c r="C607" s="1"/>
    </row>
    <row r="608" spans="3:3">
      <c r="C608" s="1"/>
    </row>
    <row r="609" spans="3:3">
      <c r="C609" s="1"/>
    </row>
    <row r="610" spans="3:3">
      <c r="C610" s="1"/>
    </row>
    <row r="611" spans="3:3">
      <c r="C611" s="1"/>
    </row>
    <row r="612" spans="3:3">
      <c r="C612" s="1"/>
    </row>
    <row r="613" spans="3:3">
      <c r="C613" s="1"/>
    </row>
    <row r="614" spans="3:3">
      <c r="C614" s="1"/>
    </row>
    <row r="615" spans="3:3">
      <c r="C615" s="1"/>
    </row>
    <row r="616" spans="3:3">
      <c r="C616" s="1"/>
    </row>
    <row r="617" spans="3:3">
      <c r="C617" s="1"/>
    </row>
    <row r="618" spans="3:3">
      <c r="C618" s="1"/>
    </row>
    <row r="619" spans="3:3">
      <c r="C619" s="1"/>
    </row>
    <row r="620" spans="3:3">
      <c r="C620" s="1"/>
    </row>
    <row r="621" spans="3:3">
      <c r="C621" s="1"/>
    </row>
    <row r="622" spans="3:3">
      <c r="C622" s="1"/>
    </row>
    <row r="623" spans="3:3">
      <c r="C623" s="1"/>
    </row>
    <row r="624" spans="3:3">
      <c r="C624" s="1"/>
    </row>
    <row r="625" spans="3:3">
      <c r="C625" s="1"/>
    </row>
    <row r="626" spans="3:3">
      <c r="C626" s="1"/>
    </row>
    <row r="627" spans="3:3">
      <c r="C627" s="1"/>
    </row>
    <row r="628" spans="3:3">
      <c r="C628" s="1"/>
    </row>
    <row r="629" spans="3:3">
      <c r="C629" s="1"/>
    </row>
    <row r="630" spans="3:3">
      <c r="C630" s="1"/>
    </row>
    <row r="631" spans="3:3">
      <c r="C631" s="1"/>
    </row>
    <row r="632" spans="3:3">
      <c r="C632" s="1"/>
    </row>
    <row r="633" spans="3:3">
      <c r="C633" s="1"/>
    </row>
    <row r="634" spans="3:3">
      <c r="C634" s="1"/>
    </row>
    <row r="635" spans="3:3">
      <c r="C635" s="1"/>
    </row>
    <row r="636" spans="3:3">
      <c r="C636" s="1"/>
    </row>
    <row r="637" spans="3:3">
      <c r="C637" s="1"/>
    </row>
    <row r="638" spans="3:3">
      <c r="C638" s="1"/>
    </row>
    <row r="639" spans="3:3">
      <c r="C639" s="1"/>
    </row>
    <row r="640" spans="3:3">
      <c r="C640" s="1"/>
    </row>
    <row r="641" spans="3:3">
      <c r="C641" s="1"/>
    </row>
    <row r="642" spans="3:3">
      <c r="C642" s="1"/>
    </row>
    <row r="643" spans="3:3">
      <c r="C643" s="1"/>
    </row>
    <row r="644" spans="3:3">
      <c r="C644" s="1"/>
    </row>
    <row r="645" spans="3:3">
      <c r="C645" s="1"/>
    </row>
    <row r="646" spans="3:3">
      <c r="C646" s="1"/>
    </row>
    <row r="647" spans="3:3">
      <c r="C647" s="1"/>
    </row>
    <row r="648" spans="3:3">
      <c r="C648" s="1"/>
    </row>
    <row r="649" spans="3:3">
      <c r="C649" s="1"/>
    </row>
    <row r="650" spans="3:3">
      <c r="C650" s="1"/>
    </row>
    <row r="651" spans="3:3">
      <c r="C651" s="1"/>
    </row>
    <row r="652" spans="3:3">
      <c r="C652" s="1"/>
    </row>
    <row r="653" spans="3:3">
      <c r="C653" s="1"/>
    </row>
    <row r="654" spans="3:3">
      <c r="C654" s="1"/>
    </row>
    <row r="655" spans="3:3">
      <c r="C655" s="1"/>
    </row>
    <row r="656" spans="3:3">
      <c r="C656" s="1"/>
    </row>
    <row r="657" spans="3:3">
      <c r="C657" s="1"/>
    </row>
    <row r="658" spans="3:3">
      <c r="C658" s="1"/>
    </row>
    <row r="659" spans="3:3">
      <c r="C659" s="1"/>
    </row>
    <row r="660" spans="3:3">
      <c r="C660" s="1"/>
    </row>
    <row r="661" spans="3:3">
      <c r="C661" s="1"/>
    </row>
    <row r="662" spans="3:3">
      <c r="C662" s="1"/>
    </row>
    <row r="663" spans="3:3">
      <c r="C663" s="1"/>
    </row>
    <row r="664" spans="3:3">
      <c r="C664" s="1"/>
    </row>
    <row r="665" spans="3:3">
      <c r="C665" s="1"/>
    </row>
    <row r="666" spans="3:3">
      <c r="C666" s="1"/>
    </row>
    <row r="667" spans="3:3">
      <c r="C667" s="1"/>
    </row>
    <row r="668" spans="3:3">
      <c r="C668" s="1"/>
    </row>
    <row r="669" spans="3:3">
      <c r="C669" s="1"/>
    </row>
    <row r="670" spans="3:3">
      <c r="C670" s="1"/>
    </row>
    <row r="671" spans="3:3">
      <c r="C671" s="1"/>
    </row>
    <row r="672" spans="3:3">
      <c r="C672" s="1"/>
    </row>
    <row r="673" spans="3:3">
      <c r="C673" s="1"/>
    </row>
    <row r="674" spans="3:3">
      <c r="C674" s="1"/>
    </row>
    <row r="675" spans="3:3">
      <c r="C675" s="1"/>
    </row>
    <row r="676" spans="3:3">
      <c r="C676" s="1"/>
    </row>
    <row r="677" spans="3:3">
      <c r="C677" s="1"/>
    </row>
    <row r="678" spans="3:3">
      <c r="C678" s="1"/>
    </row>
    <row r="679" spans="3:3">
      <c r="C679" s="1"/>
    </row>
    <row r="680" spans="3:3">
      <c r="C680" s="1"/>
    </row>
    <row r="681" spans="3:3">
      <c r="C681" s="1"/>
    </row>
    <row r="682" spans="3:3">
      <c r="C682" s="1"/>
    </row>
    <row r="683" spans="3:3">
      <c r="C683" s="1"/>
    </row>
    <row r="684" spans="3:3">
      <c r="C684" s="1"/>
    </row>
    <row r="685" spans="3:3">
      <c r="C685" s="1"/>
    </row>
    <row r="686" spans="3:3">
      <c r="C686" s="1"/>
    </row>
    <row r="687" spans="3:3">
      <c r="C687" s="1"/>
    </row>
    <row r="688" spans="3:3">
      <c r="C688" s="1"/>
    </row>
    <row r="689" spans="3:3">
      <c r="C689" s="1"/>
    </row>
    <row r="690" spans="3:3">
      <c r="C690" s="1"/>
    </row>
    <row r="691" spans="3:3">
      <c r="C691" s="1"/>
    </row>
    <row r="692" spans="3:3">
      <c r="C692" s="1"/>
    </row>
    <row r="693" spans="3:3">
      <c r="C693" s="1"/>
    </row>
    <row r="694" spans="3:3">
      <c r="C694" s="1"/>
    </row>
    <row r="695" spans="3:3">
      <c r="C695" s="1"/>
    </row>
    <row r="696" spans="3:3">
      <c r="C696" s="1"/>
    </row>
    <row r="697" spans="3:3">
      <c r="C697" s="1"/>
    </row>
    <row r="698" spans="3:3">
      <c r="C698" s="1"/>
    </row>
    <row r="699" spans="3:3">
      <c r="C699" s="1"/>
    </row>
    <row r="700" spans="3:3">
      <c r="C700" s="1"/>
    </row>
    <row r="701" spans="3:3">
      <c r="C701" s="1"/>
    </row>
    <row r="702" spans="3:3">
      <c r="C702" s="1"/>
    </row>
    <row r="703" spans="3:3">
      <c r="C703" s="1"/>
    </row>
    <row r="704" spans="3:3">
      <c r="C704" s="1"/>
    </row>
    <row r="705" spans="3:3">
      <c r="C705" s="1"/>
    </row>
    <row r="706" spans="3:3">
      <c r="C706" s="1"/>
    </row>
    <row r="707" spans="3:3">
      <c r="C707" s="1"/>
    </row>
    <row r="708" spans="3:3">
      <c r="C708" s="1"/>
    </row>
    <row r="709" spans="3:3">
      <c r="C709" s="1"/>
    </row>
    <row r="710" spans="3:3">
      <c r="C710" s="1"/>
    </row>
    <row r="711" spans="3:3">
      <c r="C711" s="1"/>
    </row>
    <row r="712" spans="3:3">
      <c r="C712" s="1"/>
    </row>
    <row r="713" spans="3:3">
      <c r="C713" s="1"/>
    </row>
    <row r="714" spans="3:3">
      <c r="C714" s="1"/>
    </row>
    <row r="715" spans="3:3">
      <c r="C715" s="1"/>
    </row>
    <row r="716" spans="3:3">
      <c r="C716" s="1"/>
    </row>
    <row r="717" spans="3:3">
      <c r="C717" s="1"/>
    </row>
    <row r="718" spans="3:3">
      <c r="C718" s="1"/>
    </row>
    <row r="719" spans="3:3">
      <c r="C719" s="1"/>
    </row>
    <row r="720" spans="3:3">
      <c r="C720" s="1"/>
    </row>
    <row r="721" spans="3:3">
      <c r="C721" s="1"/>
    </row>
    <row r="722" spans="3:3">
      <c r="C722" s="1"/>
    </row>
    <row r="723" spans="3:3">
      <c r="C723" s="1"/>
    </row>
    <row r="724" spans="3:3">
      <c r="C724" s="1"/>
    </row>
    <row r="725" spans="3:3">
      <c r="C725" s="1"/>
    </row>
    <row r="726" spans="3:3">
      <c r="C726" s="1"/>
    </row>
    <row r="727" spans="3:3">
      <c r="C727" s="1"/>
    </row>
    <row r="728" spans="3:3">
      <c r="C728" s="1"/>
    </row>
    <row r="729" spans="3:3">
      <c r="C729" s="1"/>
    </row>
    <row r="730" spans="3:3">
      <c r="C730" s="1"/>
    </row>
    <row r="731" spans="3:3">
      <c r="C731" s="1"/>
    </row>
    <row r="732" spans="3:3">
      <c r="C732" s="1"/>
    </row>
    <row r="733" spans="3:3">
      <c r="C733" s="1"/>
    </row>
    <row r="734" spans="3:3">
      <c r="C734" s="1"/>
    </row>
    <row r="735" spans="3:3">
      <c r="C735" s="1"/>
    </row>
    <row r="736" spans="3:3">
      <c r="C736" s="1"/>
    </row>
    <row r="737" spans="3:3">
      <c r="C737" s="1"/>
    </row>
    <row r="738" spans="3:3">
      <c r="C738" s="1"/>
    </row>
    <row r="739" spans="3:3">
      <c r="C739" s="1"/>
    </row>
    <row r="740" spans="3:3">
      <c r="C740" s="1"/>
    </row>
    <row r="741" spans="3:3">
      <c r="C741" s="1"/>
    </row>
    <row r="742" spans="3:3">
      <c r="C742" s="1"/>
    </row>
    <row r="743" spans="3:3">
      <c r="C743" s="1"/>
    </row>
    <row r="744" spans="3:3">
      <c r="C744" s="1"/>
    </row>
    <row r="745" spans="3:3">
      <c r="C745" s="1"/>
    </row>
    <row r="746" spans="3:3">
      <c r="C746" s="1"/>
    </row>
    <row r="747" spans="3:3">
      <c r="C747" s="1"/>
    </row>
    <row r="748" spans="3:3">
      <c r="C748" s="1"/>
    </row>
    <row r="749" spans="3:3">
      <c r="C749" s="1"/>
    </row>
    <row r="750" spans="3:3">
      <c r="C750" s="1"/>
    </row>
    <row r="751" spans="3:3">
      <c r="C751" s="1"/>
    </row>
    <row r="752" spans="3:3">
      <c r="C752" s="1"/>
    </row>
    <row r="753" spans="3:3">
      <c r="C753" s="1"/>
    </row>
    <row r="754" spans="3:3">
      <c r="C754" s="1"/>
    </row>
    <row r="755" spans="3:3">
      <c r="C755" s="1"/>
    </row>
    <row r="756" spans="3:3">
      <c r="C756" s="1"/>
    </row>
    <row r="757" spans="3:3">
      <c r="C757" s="1"/>
    </row>
    <row r="758" spans="3:3">
      <c r="C758" s="1"/>
    </row>
    <row r="759" spans="3:3">
      <c r="C759" s="1"/>
    </row>
    <row r="760" spans="3:3">
      <c r="C760" s="1"/>
    </row>
    <row r="761" spans="3:3">
      <c r="C761" s="1"/>
    </row>
    <row r="762" spans="3:3">
      <c r="C762" s="1"/>
    </row>
    <row r="763" spans="3:3">
      <c r="C763" s="1"/>
    </row>
    <row r="764" spans="3:3">
      <c r="C764" s="1"/>
    </row>
    <row r="765" spans="3:3">
      <c r="C765" s="1"/>
    </row>
    <row r="766" spans="3:3">
      <c r="C766" s="1"/>
    </row>
    <row r="767" spans="3:3">
      <c r="C767" s="1"/>
    </row>
    <row r="768" spans="3:3">
      <c r="C768" s="1"/>
    </row>
    <row r="769" spans="3:3">
      <c r="C769" s="1"/>
    </row>
    <row r="770" spans="3:3">
      <c r="C770" s="1"/>
    </row>
    <row r="771" spans="3:3">
      <c r="C771" s="1"/>
    </row>
    <row r="772" spans="3:3">
      <c r="C772" s="1"/>
    </row>
    <row r="773" spans="3:3">
      <c r="C773" s="1"/>
    </row>
    <row r="774" spans="3:3">
      <c r="C774" s="1"/>
    </row>
    <row r="775" spans="3:3">
      <c r="C775" s="1"/>
    </row>
    <row r="776" spans="3:3">
      <c r="C776" s="1"/>
    </row>
    <row r="777" spans="3:3">
      <c r="C777" s="1"/>
    </row>
    <row r="778" spans="3:3">
      <c r="C778" s="1"/>
    </row>
    <row r="779" spans="3:3">
      <c r="C779" s="1"/>
    </row>
    <row r="780" spans="3:3">
      <c r="C780" s="1"/>
    </row>
    <row r="781" spans="3:3">
      <c r="C781" s="1"/>
    </row>
    <row r="782" spans="3:3">
      <c r="C782" s="1"/>
    </row>
    <row r="783" spans="3:3">
      <c r="C783" s="1"/>
    </row>
    <row r="784" spans="3:3">
      <c r="C784" s="1"/>
    </row>
    <row r="785" spans="3:3">
      <c r="C785" s="1"/>
    </row>
    <row r="786" spans="3:3">
      <c r="C786" s="1"/>
    </row>
    <row r="787" spans="3:3">
      <c r="C787" s="1"/>
    </row>
    <row r="788" spans="3:3">
      <c r="C788" s="1"/>
    </row>
    <row r="789" spans="3:3">
      <c r="C789" s="1"/>
    </row>
    <row r="790" spans="3:3">
      <c r="C790" s="1"/>
    </row>
    <row r="791" spans="3:3">
      <c r="C791" s="1"/>
    </row>
    <row r="792" spans="3:3">
      <c r="C792" s="1"/>
    </row>
    <row r="793" spans="3:3">
      <c r="C793" s="1"/>
    </row>
    <row r="794" spans="3:3">
      <c r="C794" s="1"/>
    </row>
    <row r="795" spans="3:3">
      <c r="C795" s="1"/>
    </row>
    <row r="796" spans="3:3">
      <c r="C796" s="1"/>
    </row>
    <row r="797" spans="3:3">
      <c r="C797" s="1"/>
    </row>
    <row r="798" spans="3:3">
      <c r="C798" s="1"/>
    </row>
    <row r="799" spans="3:3">
      <c r="C799" s="1"/>
    </row>
    <row r="800" spans="3:3">
      <c r="C800" s="1"/>
    </row>
    <row r="801" spans="3:3">
      <c r="C801" s="1"/>
    </row>
    <row r="802" spans="3:3">
      <c r="C802" s="1"/>
    </row>
    <row r="803" spans="3:3">
      <c r="C803" s="1"/>
    </row>
    <row r="804" spans="3:3">
      <c r="C804" s="1"/>
    </row>
    <row r="805" spans="3:3">
      <c r="C805" s="1"/>
    </row>
    <row r="806" spans="3:3">
      <c r="C806" s="1"/>
    </row>
    <row r="807" spans="3:3">
      <c r="C807" s="1"/>
    </row>
    <row r="808" spans="3:3">
      <c r="C808" s="1"/>
    </row>
    <row r="809" spans="3:3">
      <c r="C809" s="1"/>
    </row>
    <row r="810" spans="3:3">
      <c r="C810" s="1"/>
    </row>
    <row r="811" spans="3:3">
      <c r="C811" s="1"/>
    </row>
    <row r="812" spans="3:3">
      <c r="C812" s="1"/>
    </row>
    <row r="813" spans="3:3">
      <c r="C813" s="1"/>
    </row>
    <row r="814" spans="3:3">
      <c r="C814" s="1"/>
    </row>
    <row r="815" spans="3:3">
      <c r="C815" s="1"/>
    </row>
    <row r="816" spans="3:3">
      <c r="C816" s="1"/>
    </row>
    <row r="817" spans="3:3">
      <c r="C817" s="1"/>
    </row>
    <row r="818" spans="3:3">
      <c r="C818" s="1"/>
    </row>
    <row r="819" spans="3:3">
      <c r="C819" s="1"/>
    </row>
    <row r="820" spans="3:3">
      <c r="C820" s="1"/>
    </row>
    <row r="821" spans="3:3">
      <c r="C821" s="1"/>
    </row>
    <row r="822" spans="3:3">
      <c r="C822" s="1"/>
    </row>
    <row r="823" spans="3:3">
      <c r="C823" s="1"/>
    </row>
    <row r="824" spans="3:3">
      <c r="C824" s="1"/>
    </row>
    <row r="825" spans="3:3">
      <c r="C825" s="1"/>
    </row>
    <row r="826" spans="3:3">
      <c r="C826" s="1"/>
    </row>
    <row r="827" spans="3:3">
      <c r="C827" s="1"/>
    </row>
    <row r="828" spans="3:3">
      <c r="C828" s="1"/>
    </row>
    <row r="829" spans="3:3">
      <c r="C829" s="1"/>
    </row>
    <row r="830" spans="3:3">
      <c r="C830" s="1"/>
    </row>
    <row r="831" spans="3:3">
      <c r="C831" s="1"/>
    </row>
    <row r="832" spans="3:3">
      <c r="C832" s="1"/>
    </row>
    <row r="833" spans="3:3">
      <c r="C833" s="1"/>
    </row>
    <row r="834" spans="3:3">
      <c r="C834" s="1"/>
    </row>
    <row r="835" spans="3:3">
      <c r="C835" s="1"/>
    </row>
    <row r="836" spans="3:3">
      <c r="C836" s="1"/>
    </row>
    <row r="837" spans="3:3">
      <c r="C837" s="1"/>
    </row>
    <row r="838" spans="3:3">
      <c r="C838" s="1"/>
    </row>
    <row r="839" spans="3:3">
      <c r="C839" s="1"/>
    </row>
    <row r="840" spans="3:3">
      <c r="C840" s="1"/>
    </row>
    <row r="841" spans="3:3">
      <c r="C841" s="1"/>
    </row>
    <row r="842" spans="3:3">
      <c r="C842" s="1"/>
    </row>
    <row r="843" spans="3:3">
      <c r="C843" s="1"/>
    </row>
    <row r="844" spans="3:3">
      <c r="C844" s="1"/>
    </row>
    <row r="845" spans="3:3">
      <c r="C845" s="1"/>
    </row>
    <row r="846" spans="3:3">
      <c r="C846" s="1"/>
    </row>
    <row r="847" spans="3:3">
      <c r="C847" s="1"/>
    </row>
    <row r="848" spans="3:3">
      <c r="C848" s="1"/>
    </row>
    <row r="849" spans="3:3">
      <c r="C849" s="1"/>
    </row>
    <row r="850" spans="3:3">
      <c r="C850" s="1"/>
    </row>
    <row r="851" spans="3:3">
      <c r="C851" s="1"/>
    </row>
    <row r="852" spans="3:3">
      <c r="C852" s="1"/>
    </row>
    <row r="853" spans="3:3">
      <c r="C853" s="1"/>
    </row>
    <row r="854" spans="3:3">
      <c r="C854" s="1"/>
    </row>
    <row r="855" spans="3:3">
      <c r="C855" s="1"/>
    </row>
    <row r="856" spans="3:3">
      <c r="C856" s="1"/>
    </row>
    <row r="857" spans="3:3">
      <c r="C857" s="1"/>
    </row>
    <row r="858" spans="3:3">
      <c r="C858" s="1"/>
    </row>
    <row r="859" spans="3:3">
      <c r="C859" s="1"/>
    </row>
    <row r="860" spans="3:3">
      <c r="C860" s="1"/>
    </row>
    <row r="861" spans="3:3">
      <c r="C861" s="1"/>
    </row>
    <row r="862" spans="3:3">
      <c r="C862" s="1"/>
    </row>
    <row r="863" spans="3:3">
      <c r="C863" s="1"/>
    </row>
    <row r="864" spans="3:3">
      <c r="C864" s="1"/>
    </row>
    <row r="865" spans="3:3">
      <c r="C865" s="1"/>
    </row>
    <row r="866" spans="3:3">
      <c r="C866" s="1"/>
    </row>
    <row r="867" spans="3:3">
      <c r="C867" s="1"/>
    </row>
    <row r="868" spans="3:3">
      <c r="C868" s="1"/>
    </row>
    <row r="869" spans="3:3">
      <c r="C869" s="1"/>
    </row>
    <row r="870" spans="3:3">
      <c r="C870" s="1"/>
    </row>
    <row r="871" spans="3:3">
      <c r="C871" s="1"/>
    </row>
    <row r="872" spans="3:3">
      <c r="C872" s="1"/>
    </row>
    <row r="873" spans="3:3">
      <c r="C873" s="1"/>
    </row>
    <row r="874" spans="3:3">
      <c r="C874" s="1"/>
    </row>
    <row r="875" spans="3:3">
      <c r="C875" s="1"/>
    </row>
    <row r="876" spans="3:3">
      <c r="C876" s="1"/>
    </row>
    <row r="877" spans="3:3">
      <c r="C877" s="1"/>
    </row>
    <row r="878" spans="3:3">
      <c r="C878" s="1"/>
    </row>
    <row r="879" spans="3:3">
      <c r="C879" s="1"/>
    </row>
    <row r="880" spans="3:3">
      <c r="C880" s="1"/>
    </row>
    <row r="881" spans="3:3">
      <c r="C881" s="1"/>
    </row>
    <row r="882" spans="3:3">
      <c r="C882" s="1"/>
    </row>
    <row r="883" spans="3:3">
      <c r="C883" s="1"/>
    </row>
    <row r="884" spans="3:3">
      <c r="C884" s="1"/>
    </row>
    <row r="885" spans="3:3">
      <c r="C885" s="1"/>
    </row>
    <row r="886" spans="3:3">
      <c r="C886" s="1"/>
    </row>
    <row r="887" spans="3:3">
      <c r="C887" s="1"/>
    </row>
    <row r="888" spans="3:3">
      <c r="C888" s="1"/>
    </row>
    <row r="889" spans="3:3">
      <c r="C889" s="1"/>
    </row>
    <row r="890" spans="3:3">
      <c r="C890" s="1"/>
    </row>
    <row r="891" spans="3:3">
      <c r="C891" s="1"/>
    </row>
    <row r="892" spans="3:3">
      <c r="C892" s="1"/>
    </row>
    <row r="893" spans="3:3">
      <c r="C893" s="1"/>
    </row>
    <row r="894" spans="3:3">
      <c r="C894" s="1"/>
    </row>
    <row r="895" spans="3:3">
      <c r="C895" s="1"/>
    </row>
    <row r="896" spans="3:3">
      <c r="C896" s="1"/>
    </row>
    <row r="897" spans="3:3">
      <c r="C897" s="1"/>
    </row>
    <row r="898" spans="3:3">
      <c r="C898" s="1"/>
    </row>
    <row r="899" spans="3:3">
      <c r="C899" s="1"/>
    </row>
    <row r="900" spans="3:3">
      <c r="C900" s="1"/>
    </row>
    <row r="901" spans="3:3">
      <c r="C901" s="1"/>
    </row>
    <row r="902" spans="3:3">
      <c r="C902" s="1"/>
    </row>
    <row r="903" spans="3:3">
      <c r="C903" s="1"/>
    </row>
    <row r="904" spans="3:3">
      <c r="C904" s="1"/>
    </row>
    <row r="905" spans="3:3">
      <c r="C905" s="1"/>
    </row>
    <row r="906" spans="3:3">
      <c r="C906" s="1"/>
    </row>
    <row r="907" spans="3:3">
      <c r="C907" s="1"/>
    </row>
    <row r="908" spans="3:3">
      <c r="C908" s="1"/>
    </row>
    <row r="909" spans="3:3">
      <c r="C909" s="1"/>
    </row>
    <row r="910" spans="3:3">
      <c r="C910" s="1"/>
    </row>
    <row r="911" spans="3:3">
      <c r="C911" s="1"/>
    </row>
    <row r="912" spans="3:3">
      <c r="C912" s="1"/>
    </row>
    <row r="913" spans="3:3">
      <c r="C913" s="1"/>
    </row>
    <row r="914" spans="3:3">
      <c r="C914" s="1"/>
    </row>
    <row r="915" spans="3:3">
      <c r="C915" s="1"/>
    </row>
    <row r="916" spans="3:3">
      <c r="C916" s="1"/>
    </row>
    <row r="917" spans="3:3">
      <c r="C917" s="1"/>
    </row>
    <row r="918" spans="3:3">
      <c r="C918" s="1"/>
    </row>
    <row r="919" spans="3:3">
      <c r="C919" s="1"/>
    </row>
    <row r="920" spans="3:3">
      <c r="C920" s="1"/>
    </row>
    <row r="921" spans="3:3">
      <c r="C921" s="1"/>
    </row>
    <row r="922" spans="3:3">
      <c r="C922" s="1"/>
    </row>
    <row r="923" spans="3:3">
      <c r="C923" s="1"/>
    </row>
    <row r="924" spans="3:3">
      <c r="C924" s="1"/>
    </row>
    <row r="925" spans="3:3">
      <c r="C925" s="1"/>
    </row>
    <row r="926" spans="3:3">
      <c r="C926" s="1"/>
    </row>
    <row r="927" spans="3:3">
      <c r="C927" s="1"/>
    </row>
    <row r="928" spans="3:3">
      <c r="C928" s="1"/>
    </row>
    <row r="929" spans="3:3">
      <c r="C929" s="1"/>
    </row>
    <row r="930" spans="3:3">
      <c r="C930" s="1"/>
    </row>
    <row r="931" spans="3:3">
      <c r="C931" s="1"/>
    </row>
    <row r="932" spans="3:3">
      <c r="C932" s="1"/>
    </row>
    <row r="933" spans="3:3">
      <c r="C933" s="1"/>
    </row>
    <row r="934" spans="3:3">
      <c r="C934" s="1"/>
    </row>
    <row r="935" spans="3:3">
      <c r="C935" s="1"/>
    </row>
    <row r="936" spans="3:3">
      <c r="C936" s="1"/>
    </row>
    <row r="937" spans="3:3">
      <c r="C937" s="1"/>
    </row>
    <row r="938" spans="3:3">
      <c r="C938" s="1"/>
    </row>
    <row r="939" spans="3:3">
      <c r="C939" s="1"/>
    </row>
    <row r="940" spans="3:3">
      <c r="C940" s="1"/>
    </row>
    <row r="941" spans="3:3">
      <c r="C941" s="1"/>
    </row>
    <row r="942" spans="3:3">
      <c r="C942" s="1"/>
    </row>
    <row r="943" spans="3:3">
      <c r="C943" s="1"/>
    </row>
    <row r="944" spans="3:3">
      <c r="C944" s="1"/>
    </row>
    <row r="945" spans="3:3">
      <c r="C945" s="1"/>
    </row>
    <row r="946" spans="3:3">
      <c r="C946" s="1"/>
    </row>
    <row r="947" spans="3:3">
      <c r="C947" s="1"/>
    </row>
    <row r="948" spans="3:3">
      <c r="C948" s="1"/>
    </row>
    <row r="949" spans="3:3">
      <c r="C949" s="1"/>
    </row>
    <row r="950" spans="3:3">
      <c r="C950" s="1"/>
    </row>
    <row r="951" spans="3:3">
      <c r="C951" s="1"/>
    </row>
    <row r="952" spans="3:3">
      <c r="C952" s="1"/>
    </row>
    <row r="953" spans="3:3">
      <c r="C953" s="1"/>
    </row>
    <row r="954" spans="3:3">
      <c r="C954" s="1"/>
    </row>
    <row r="955" spans="3:3">
      <c r="C955" s="1"/>
    </row>
    <row r="956" spans="3:3">
      <c r="C956" s="1"/>
    </row>
    <row r="957" spans="3:3">
      <c r="C957" s="1"/>
    </row>
    <row r="958" spans="3:3">
      <c r="C958" s="1"/>
    </row>
    <row r="959" spans="3:3">
      <c r="C959" s="1"/>
    </row>
    <row r="960" spans="3:3">
      <c r="C960" s="1"/>
    </row>
    <row r="961" spans="3:3">
      <c r="C961" s="1"/>
    </row>
    <row r="962" spans="3:3">
      <c r="C962" s="1"/>
    </row>
    <row r="963" spans="3:3">
      <c r="C963" s="1"/>
    </row>
    <row r="964" spans="3:3">
      <c r="C964" s="1"/>
    </row>
    <row r="965" spans="3:3">
      <c r="C965" s="1"/>
    </row>
    <row r="966" spans="3:3">
      <c r="C966" s="1"/>
    </row>
    <row r="967" spans="3:3">
      <c r="C967" s="1"/>
    </row>
    <row r="968" spans="3:3">
      <c r="C968" s="1"/>
    </row>
    <row r="969" spans="3:3">
      <c r="C969" s="1"/>
    </row>
    <row r="970" spans="3:3">
      <c r="C970" s="1"/>
    </row>
    <row r="971" spans="3:3">
      <c r="C971" s="1"/>
    </row>
    <row r="972" spans="3:3">
      <c r="C972" s="1"/>
    </row>
    <row r="973" spans="3:3">
      <c r="C973" s="1"/>
    </row>
    <row r="974" spans="3:3">
      <c r="C974" s="1"/>
    </row>
    <row r="975" spans="3:3">
      <c r="C975" s="1"/>
    </row>
    <row r="976" spans="3:3">
      <c r="C976" s="1"/>
    </row>
    <row r="977" spans="3:3">
      <c r="C977" s="1"/>
    </row>
    <row r="978" spans="3:3">
      <c r="C978" s="1"/>
    </row>
    <row r="979" spans="3:3">
      <c r="C979" s="1"/>
    </row>
    <row r="980" spans="3:3">
      <c r="C980" s="1"/>
    </row>
    <row r="981" spans="3:3">
      <c r="C981" s="1"/>
    </row>
    <row r="982" spans="3:3">
      <c r="C982" s="1"/>
    </row>
    <row r="983" spans="3:3">
      <c r="C983" s="1"/>
    </row>
    <row r="984" spans="3:3">
      <c r="C984" s="1"/>
    </row>
    <row r="985" spans="3:3">
      <c r="C985" s="1"/>
    </row>
    <row r="986" spans="3:3">
      <c r="C986" s="1"/>
    </row>
    <row r="987" spans="3:3">
      <c r="C987" s="1"/>
    </row>
    <row r="988" spans="3:3">
      <c r="C988" s="1"/>
    </row>
    <row r="989" spans="3:3">
      <c r="C989" s="1"/>
    </row>
    <row r="990" spans="3:3">
      <c r="C990" s="1"/>
    </row>
    <row r="991" spans="3:3">
      <c r="C991" s="1"/>
    </row>
    <row r="992" spans="3:3">
      <c r="C992" s="1"/>
    </row>
    <row r="993" spans="3:3">
      <c r="C993" s="1"/>
    </row>
    <row r="994" spans="3:3">
      <c r="C994" s="1"/>
    </row>
    <row r="995" spans="3:3">
      <c r="C995" s="1"/>
    </row>
    <row r="996" spans="3:3">
      <c r="C996" s="1"/>
    </row>
    <row r="997" spans="3:3">
      <c r="C997" s="1"/>
    </row>
    <row r="998" spans="3:3">
      <c r="C998" s="1"/>
    </row>
    <row r="999" spans="3:3">
      <c r="C999" s="1"/>
    </row>
    <row r="1000" spans="3:3">
      <c r="C1000" s="1"/>
    </row>
    <row r="1001" spans="3:3">
      <c r="C1001" s="1"/>
    </row>
    <row r="1002" spans="3:3">
      <c r="C1002" s="1"/>
    </row>
    <row r="1003" spans="3:3">
      <c r="C1003" s="1"/>
    </row>
    <row r="1004" spans="3:3">
      <c r="C1004" s="1"/>
    </row>
    <row r="1005" spans="3:3">
      <c r="C1005" s="1"/>
    </row>
    <row r="1006" spans="3:3">
      <c r="C1006" s="1"/>
    </row>
    <row r="1007" spans="3:3">
      <c r="C1007" s="1"/>
    </row>
    <row r="1008" spans="3:3">
      <c r="C1008" s="1"/>
    </row>
    <row r="1009" spans="3:3">
      <c r="C1009" s="1"/>
    </row>
    <row r="1010" spans="3:3">
      <c r="C1010" s="1"/>
    </row>
    <row r="1011" spans="3:3">
      <c r="C1011" s="1"/>
    </row>
    <row r="1012" spans="3:3">
      <c r="C1012" s="1"/>
    </row>
    <row r="1013" spans="3:3">
      <c r="C1013" s="1"/>
    </row>
  </sheetData>
  <phoneticPr fontId="4" type="noConversion"/>
  <conditionalFormatting sqref="A1:A1048576">
    <cfRule type="duplicateValues" dxfId="4" priority="3"/>
    <cfRule type="duplicateValues" dxfId="3" priority="4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89D6-71AC-4158-B58A-B2EEAC2F4355}">
  <dimension ref="A3:E19"/>
  <sheetViews>
    <sheetView zoomScaleNormal="100" workbookViewId="0">
      <selection activeCell="F13" sqref="F13"/>
    </sheetView>
  </sheetViews>
  <sheetFormatPr defaultColWidth="28.33203125" defaultRowHeight="14.4"/>
  <cols>
    <col min="1" max="1" width="15.88671875" bestFit="1" customWidth="1"/>
    <col min="2" max="2" width="25.44140625" bestFit="1" customWidth="1"/>
    <col min="4" max="4" width="17.109375" bestFit="1" customWidth="1"/>
    <col min="5" max="5" width="16.6640625" bestFit="1" customWidth="1"/>
    <col min="6" max="6" width="18.88671875" bestFit="1" customWidth="1"/>
  </cols>
  <sheetData>
    <row r="3" spans="1:5">
      <c r="A3" s="5" t="s">
        <v>0</v>
      </c>
      <c r="B3" t="s">
        <v>252</v>
      </c>
      <c r="D3" s="5" t="s">
        <v>245</v>
      </c>
      <c r="E3" t="s">
        <v>251</v>
      </c>
    </row>
    <row r="4" spans="1:5">
      <c r="A4" s="6" t="s">
        <v>2</v>
      </c>
      <c r="B4" s="8">
        <v>287.02535214351497</v>
      </c>
      <c r="D4" s="6" t="s">
        <v>246</v>
      </c>
      <c r="E4">
        <v>41</v>
      </c>
    </row>
    <row r="5" spans="1:5">
      <c r="A5" s="6" t="s">
        <v>220</v>
      </c>
      <c r="B5" s="8">
        <v>233.92417216779674</v>
      </c>
      <c r="D5" s="6" t="s">
        <v>247</v>
      </c>
      <c r="E5">
        <v>105</v>
      </c>
    </row>
    <row r="6" spans="1:5">
      <c r="A6" s="6" t="s">
        <v>4</v>
      </c>
      <c r="B6" s="8">
        <v>346.64796080380751</v>
      </c>
      <c r="D6" s="6" t="s">
        <v>248</v>
      </c>
      <c r="E6">
        <v>64</v>
      </c>
    </row>
    <row r="7" spans="1:5">
      <c r="A7" s="6" t="s">
        <v>3</v>
      </c>
      <c r="B7" s="8">
        <v>352.92400452389575</v>
      </c>
      <c r="D7" s="6" t="s">
        <v>239</v>
      </c>
      <c r="E7">
        <v>210</v>
      </c>
    </row>
    <row r="8" spans="1:5">
      <c r="A8" s="6" t="s">
        <v>1</v>
      </c>
      <c r="B8" s="8">
        <v>222.1268155012194</v>
      </c>
    </row>
    <row r="9" spans="1:5">
      <c r="A9" s="6" t="s">
        <v>239</v>
      </c>
      <c r="B9" s="7">
        <v>1442.6483051402345</v>
      </c>
    </row>
    <row r="13" spans="1:5">
      <c r="A13" s="5" t="s">
        <v>0</v>
      </c>
      <c r="B13" t="s">
        <v>253</v>
      </c>
      <c r="D13" s="5" t="s">
        <v>249</v>
      </c>
      <c r="E13" t="s">
        <v>250</v>
      </c>
    </row>
    <row r="14" spans="1:5">
      <c r="A14" s="6" t="s">
        <v>2</v>
      </c>
      <c r="B14" s="11">
        <v>250000</v>
      </c>
      <c r="D14" s="6" t="s">
        <v>115</v>
      </c>
      <c r="E14" s="7">
        <v>8.705601132075472</v>
      </c>
    </row>
    <row r="15" spans="1:5">
      <c r="A15" s="6" t="s">
        <v>220</v>
      </c>
      <c r="B15" s="11">
        <v>197000</v>
      </c>
      <c r="D15" s="6" t="s">
        <v>53</v>
      </c>
      <c r="E15" s="7">
        <v>8.7311547619047634</v>
      </c>
    </row>
    <row r="16" spans="1:5">
      <c r="A16" s="6" t="s">
        <v>4</v>
      </c>
      <c r="B16" s="11">
        <v>304000</v>
      </c>
      <c r="D16" s="6" t="s">
        <v>19</v>
      </c>
      <c r="E16" s="7">
        <v>8.7857789320388342</v>
      </c>
    </row>
    <row r="17" spans="1:5">
      <c r="A17" s="6" t="s">
        <v>3</v>
      </c>
      <c r="B17" s="11">
        <v>311000</v>
      </c>
      <c r="D17" s="6" t="s">
        <v>203</v>
      </c>
      <c r="E17" s="7">
        <v>8.8462450495049509</v>
      </c>
    </row>
    <row r="18" spans="1:5">
      <c r="A18" s="6" t="s">
        <v>1</v>
      </c>
      <c r="B18" s="11">
        <v>193000</v>
      </c>
      <c r="D18" s="6" t="s">
        <v>112</v>
      </c>
      <c r="E18" s="7">
        <v>8.8760899999999996</v>
      </c>
    </row>
    <row r="19" spans="1:5">
      <c r="A19" s="6" t="s">
        <v>239</v>
      </c>
      <c r="B19" s="11">
        <v>1255000</v>
      </c>
      <c r="D19" s="6" t="s">
        <v>239</v>
      </c>
      <c r="E19" s="7">
        <v>43.94486987552402</v>
      </c>
    </row>
  </sheetData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4F486-AA04-4051-B043-87DA37B440FC}">
  <dimension ref="A5:R51"/>
  <sheetViews>
    <sheetView zoomScale="69" zoomScaleNormal="90" workbookViewId="0">
      <selection activeCell="J33" sqref="J33"/>
    </sheetView>
  </sheetViews>
  <sheetFormatPr defaultRowHeight="14.4"/>
  <cols>
    <col min="2" max="2" width="8.88671875" customWidth="1"/>
    <col min="3" max="3" width="13.77734375" customWidth="1"/>
    <col min="4" max="5" width="8.88671875" customWidth="1"/>
    <col min="7" max="7" width="16.109375" customWidth="1"/>
    <col min="11" max="11" width="15.5546875" customWidth="1"/>
    <col min="17" max="17" width="15" customWidth="1"/>
    <col min="24" max="24" width="8.88671875" customWidth="1"/>
  </cols>
  <sheetData>
    <row r="5" spans="1:18" ht="15" thickBot="1">
      <c r="K5" s="10"/>
    </row>
    <row r="6" spans="1:18" ht="14.4" customHeight="1">
      <c r="A6" s="24">
        <f>Data!L3</f>
        <v>0</v>
      </c>
      <c r="B6" s="25"/>
      <c r="C6" s="25"/>
      <c r="D6" s="26"/>
      <c r="E6" s="33">
        <f>Data!L4</f>
        <v>0</v>
      </c>
      <c r="F6" s="34"/>
      <c r="G6" s="34"/>
      <c r="H6" s="35"/>
      <c r="K6" s="33">
        <f>Data!L5</f>
        <v>0</v>
      </c>
      <c r="L6" s="34"/>
      <c r="M6" s="34"/>
      <c r="N6" s="35"/>
      <c r="O6" s="42">
        <f>Data!L2</f>
        <v>0</v>
      </c>
      <c r="P6" s="43"/>
      <c r="Q6" s="43"/>
      <c r="R6" s="44"/>
    </row>
    <row r="7" spans="1:18" ht="14.4" customHeight="1">
      <c r="A7" s="27"/>
      <c r="B7" s="28"/>
      <c r="C7" s="28"/>
      <c r="D7" s="29"/>
      <c r="E7" s="36"/>
      <c r="F7" s="37"/>
      <c r="G7" s="37"/>
      <c r="H7" s="38"/>
      <c r="K7" s="36"/>
      <c r="L7" s="37"/>
      <c r="M7" s="37"/>
      <c r="N7" s="38"/>
      <c r="O7" s="45"/>
      <c r="P7" s="46"/>
      <c r="Q7" s="46"/>
      <c r="R7" s="47"/>
    </row>
    <row r="8" spans="1:18" ht="14.4" customHeight="1">
      <c r="A8" s="27"/>
      <c r="B8" s="28"/>
      <c r="C8" s="28"/>
      <c r="D8" s="29"/>
      <c r="E8" s="36"/>
      <c r="F8" s="37"/>
      <c r="G8" s="37"/>
      <c r="H8" s="38"/>
      <c r="K8" s="36"/>
      <c r="L8" s="37"/>
      <c r="M8" s="37"/>
      <c r="N8" s="38"/>
      <c r="O8" s="45"/>
      <c r="P8" s="46"/>
      <c r="Q8" s="46"/>
      <c r="R8" s="47"/>
    </row>
    <row r="9" spans="1:18" ht="15" customHeight="1">
      <c r="A9" s="27"/>
      <c r="B9" s="28"/>
      <c r="C9" s="28"/>
      <c r="D9" s="29"/>
      <c r="E9" s="36"/>
      <c r="F9" s="37"/>
      <c r="G9" s="37"/>
      <c r="H9" s="38"/>
      <c r="K9" s="36"/>
      <c r="L9" s="37"/>
      <c r="M9" s="37"/>
      <c r="N9" s="38"/>
      <c r="O9" s="45"/>
      <c r="P9" s="46"/>
      <c r="Q9" s="46"/>
      <c r="R9" s="47"/>
    </row>
    <row r="10" spans="1:18" ht="15" thickBot="1">
      <c r="A10" s="30"/>
      <c r="B10" s="31"/>
      <c r="C10" s="31"/>
      <c r="D10" s="32"/>
      <c r="E10" s="39"/>
      <c r="F10" s="40"/>
      <c r="G10" s="40"/>
      <c r="H10" s="41"/>
      <c r="K10" s="39"/>
      <c r="L10" s="40"/>
      <c r="M10" s="40"/>
      <c r="N10" s="41"/>
      <c r="O10" s="48"/>
      <c r="P10" s="49"/>
      <c r="Q10" s="49"/>
      <c r="R10" s="50"/>
    </row>
    <row r="51" spans="13:13">
      <c r="M51" t="s">
        <v>240</v>
      </c>
    </row>
  </sheetData>
  <mergeCells count="4">
    <mergeCell ref="A6:D10"/>
    <mergeCell ref="E6:H10"/>
    <mergeCell ref="K6:N10"/>
    <mergeCell ref="O6:R10"/>
  </mergeCells>
  <conditionalFormatting sqref="A6">
    <cfRule type="cellIs" dxfId="2" priority="1" operator="greaterThanOrEqual">
      <formula>7</formula>
    </cfRule>
    <cfRule type="cellIs" dxfId="1" priority="2" operator="greaterThanOrEqual">
      <formula>5</formula>
    </cfRule>
    <cfRule type="cellIs" dxfId="0" priority="3" operator="lessThan">
      <formula>5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povit</vt:lpstr>
      <vt:lpstr>Dashboreds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Raghad Zayyat</dc:creator>
  <cp:lastModifiedBy>Raghad Zayyat</cp:lastModifiedBy>
  <dcterms:created xsi:type="dcterms:W3CDTF">2026-03-21T20:02:19Z</dcterms:created>
  <dcterms:modified xsi:type="dcterms:W3CDTF">2026-04-10T10:46:08Z</dcterms:modified>
</cp:coreProperties>
</file>